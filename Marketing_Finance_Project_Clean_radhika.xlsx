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hika's Vivobook\Desktop\Tableau Dashboards\Upskill_Academy_Marketing_Dashboard\"/>
    </mc:Choice>
  </mc:AlternateContent>
  <xr:revisionPtr revIDLastSave="0" documentId="13_ncr:9_{A0853501-D16E-41CE-B265-494B1EB3E49D}" xr6:coauthVersionLast="47" xr6:coauthVersionMax="47" xr10:uidLastSave="{00000000-0000-0000-0000-000000000000}"/>
  <bookViews>
    <workbookView xWindow="-108" yWindow="-108" windowWidth="23256" windowHeight="12456" xr2:uid="{6CC97FCD-8E86-4FDA-A61D-B831B1E7D324}"/>
  </bookViews>
  <sheets>
    <sheet name="Marketing_Finance_Project_Clean" sheetId="1" r:id="rId1"/>
  </sheets>
  <calcPr calcId="0"/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R5" i="1"/>
  <c r="R21" i="1"/>
  <c r="R29" i="1"/>
  <c r="R45" i="1"/>
  <c r="R53" i="1"/>
  <c r="R61" i="1"/>
  <c r="Q6" i="1"/>
  <c r="R6" i="1" s="1"/>
  <c r="P2" i="1"/>
  <c r="Q2" i="1" s="1"/>
  <c r="P3" i="1"/>
  <c r="Q3" i="1" s="1"/>
  <c r="P4" i="1"/>
  <c r="Q4" i="1" s="1"/>
  <c r="P5" i="1"/>
  <c r="Q5" i="1" s="1"/>
  <c r="P6" i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R14" i="1" s="1"/>
  <c r="P15" i="1"/>
  <c r="P16" i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R22" i="1" s="1"/>
  <c r="P23" i="1"/>
  <c r="Q23" i="1" s="1"/>
  <c r="P24" i="1"/>
  <c r="Q24" i="1" s="1"/>
  <c r="P25" i="1"/>
  <c r="P26" i="1"/>
  <c r="Q26" i="1" s="1"/>
  <c r="P27" i="1"/>
  <c r="Q27" i="1" s="1"/>
  <c r="P28" i="1"/>
  <c r="Q28" i="1" s="1"/>
  <c r="P29" i="1"/>
  <c r="Q29" i="1" s="1"/>
  <c r="P30" i="1"/>
  <c r="Q30" i="1" s="1"/>
  <c r="R30" i="1" s="1"/>
  <c r="P31" i="1"/>
  <c r="P32" i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R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R46" i="1" s="1"/>
  <c r="P47" i="1"/>
  <c r="P48" i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R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R13" i="1" l="1"/>
  <c r="R37" i="1"/>
  <c r="R32" i="1"/>
  <c r="R47" i="1"/>
  <c r="R31" i="1"/>
  <c r="Q25" i="1"/>
  <c r="R25" i="1" s="1"/>
  <c r="Q48" i="1"/>
  <c r="R48" i="1" s="1"/>
  <c r="Q32" i="1"/>
  <c r="Q16" i="1"/>
  <c r="R16" i="1" s="1"/>
  <c r="R57" i="1"/>
  <c r="R49" i="1"/>
  <c r="R41" i="1"/>
  <c r="R33" i="1"/>
  <c r="R17" i="1"/>
  <c r="R9" i="1"/>
  <c r="Q47" i="1"/>
  <c r="Q31" i="1"/>
  <c r="Q15" i="1"/>
  <c r="R15" i="1" s="1"/>
  <c r="R56" i="1"/>
  <c r="R40" i="1"/>
  <c r="R24" i="1"/>
  <c r="R8" i="1"/>
  <c r="R55" i="1"/>
  <c r="R39" i="1"/>
  <c r="R23" i="1"/>
  <c r="R7" i="1"/>
  <c r="R60" i="1"/>
  <c r="R44" i="1"/>
  <c r="R28" i="1"/>
  <c r="R12" i="1"/>
  <c r="R35" i="1"/>
  <c r="R19" i="1"/>
  <c r="R3" i="1"/>
  <c r="R52" i="1"/>
  <c r="R36" i="1"/>
  <c r="R20" i="1"/>
  <c r="R4" i="1"/>
  <c r="R59" i="1"/>
  <c r="R51" i="1"/>
  <c r="R43" i="1"/>
  <c r="R27" i="1"/>
  <c r="R11" i="1"/>
  <c r="R58" i="1"/>
  <c r="R50" i="1"/>
  <c r="R42" i="1"/>
  <c r="R34" i="1"/>
  <c r="R26" i="1"/>
  <c r="R18" i="1"/>
  <c r="R10" i="1"/>
  <c r="R2" i="1"/>
</calcChain>
</file>

<file path=xl/sharedStrings.xml><?xml version="1.0" encoding="utf-8"?>
<sst xmlns="http://schemas.openxmlformats.org/spreadsheetml/2006/main" count="380" uniqueCount="47">
  <si>
    <t>OrderDate</t>
  </si>
  <si>
    <t>CustomerID</t>
  </si>
  <si>
    <t>City</t>
  </si>
  <si>
    <t>Age</t>
  </si>
  <si>
    <t>Channel</t>
  </si>
  <si>
    <t>Campaign</t>
  </si>
  <si>
    <t>ProductCategory</t>
  </si>
  <si>
    <t>Units</t>
  </si>
  <si>
    <t>UnitPrice</t>
  </si>
  <si>
    <t>DiscountPct</t>
  </si>
  <si>
    <t>MarketingCost</t>
  </si>
  <si>
    <t>COGS_per_unit</t>
  </si>
  <si>
    <t>PaymentStatus</t>
  </si>
  <si>
    <t>PaymentMethod</t>
  </si>
  <si>
    <t>Unknown</t>
  </si>
  <si>
    <t>Instagram Ads</t>
  </si>
  <si>
    <t>Retargeting_Push</t>
  </si>
  <si>
    <t>Digital Marketing Course</t>
  </si>
  <si>
    <t>Pending</t>
  </si>
  <si>
    <t>UPI</t>
  </si>
  <si>
    <t>Pune</t>
  </si>
  <si>
    <t>Brand_Awareness</t>
  </si>
  <si>
    <t>Refunded</t>
  </si>
  <si>
    <t>Goa</t>
  </si>
  <si>
    <t>New_Year_Blast</t>
  </si>
  <si>
    <t>Workshop Pass</t>
  </si>
  <si>
    <t>Paid</t>
  </si>
  <si>
    <t>Google Ads</t>
  </si>
  <si>
    <t>SAP Course</t>
  </si>
  <si>
    <t>Card</t>
  </si>
  <si>
    <t>Referral</t>
  </si>
  <si>
    <t>E-book</t>
  </si>
  <si>
    <t>NetBanking</t>
  </si>
  <si>
    <t>Bangalore</t>
  </si>
  <si>
    <t>Organic</t>
  </si>
  <si>
    <t>Diwali_Sale</t>
  </si>
  <si>
    <t>Data Analytics Course</t>
  </si>
  <si>
    <t>Belgaum</t>
  </si>
  <si>
    <t>Facebook Ads</t>
  </si>
  <si>
    <t>Referral_Bonus</t>
  </si>
  <si>
    <t>Hubli</t>
  </si>
  <si>
    <t>Gross Revenue</t>
  </si>
  <si>
    <t>Discount Amount</t>
  </si>
  <si>
    <t>Net_Revenue</t>
  </si>
  <si>
    <t>Total_COGS</t>
  </si>
  <si>
    <t>Profit</t>
  </si>
  <si>
    <t>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</si>
</sst>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8B87C-1C88-4F03-A182-11F2267D2AA9}" name="Table1" displayName="Table1" ref="A1:T61" totalsRowShown="0">
  <autoFilter ref="A1:T61" xr:uid="{9568B87C-1C88-4F03-A182-11F2267D2AA9}"/>
  <tableColumns count="20">
    <tableColumn id="1" xr3:uid="{B0472C85-8F34-4983-89CE-EB09B611212E}" name="712"/>
    <tableColumn id="2" xr3:uid="{C7B1B16C-BC6D-4822-8DCC-0A6A0D4946AE}" name="OrderDate" dataDxfId="5"/>
    <tableColumn id="3" xr3:uid="{9C0F50ED-4E74-4DA3-A9AA-FE2F457DC098}" name="CustomerID"/>
    <tableColumn id="4" xr3:uid="{D184D220-5FBF-4C70-B9DD-10CCBBBE3C5C}" name="City"/>
    <tableColumn id="5" xr3:uid="{BD2D431A-C90B-409C-B5CC-C54BAC5709F7}" name="Age"/>
    <tableColumn id="6" xr3:uid="{4B1559E0-32AF-4B82-A856-B6B2916E761C}" name="Channel"/>
    <tableColumn id="7" xr3:uid="{9C0D3A56-5924-457A-A538-C5AA211292BF}" name="Campaign"/>
    <tableColumn id="8" xr3:uid="{D1B9BF54-F85C-4563-8D6B-D46F361DC722}" name="ProductCategory"/>
    <tableColumn id="9" xr3:uid="{0DE55A4B-7428-449F-929A-779409CE3EBA}" name="Units"/>
    <tableColumn id="10" xr3:uid="{C9EE4C3A-9DFF-46CE-A1F0-2B65ACDC8C56}" name="UnitPrice"/>
    <tableColumn id="11" xr3:uid="{66FB1F52-C1F9-4F56-B145-536C931FAD79}" name="DiscountPct"/>
    <tableColumn id="12" xr3:uid="{EC1E4231-74AB-41BD-B38D-D001A279D98B}" name="MarketingCost"/>
    <tableColumn id="13" xr3:uid="{7D87C0E6-9B8E-42A3-9275-2FAC601FC52C}" name="COGS_per_unit"/>
    <tableColumn id="14" xr3:uid="{4304F38A-1AD1-4DCC-8CA2-D8D6FE6CA3B9}" name="PaymentStatus"/>
    <tableColumn id="15" xr3:uid="{DCAEC4F6-62B0-412B-BEBF-8A2D809C39BF}" name="PaymentMethod"/>
    <tableColumn id="16" xr3:uid="{73633B08-9F1E-4184-81C0-AEA7E88D124E}" name="Gross Revenue" dataDxfId="4">
      <calculatedColumnFormula>Table1[[#This Row],[Units]]*Table1[[#This Row],[UnitPrice]]</calculatedColumnFormula>
    </tableColumn>
    <tableColumn id="17" xr3:uid="{11C01CC3-2653-4319-AF75-E12601619652}" name="Discount Amount" dataDxfId="3">
      <calculatedColumnFormula>Table1[[#This Row],[Gross Revenue]]*Table1[[#This Row],[DiscountPct]]</calculatedColumnFormula>
    </tableColumn>
    <tableColumn id="18" xr3:uid="{F5373F10-697C-4B46-B590-82FFE53800F9}" name="Net_Revenue" dataDxfId="2">
      <calculatedColumnFormula>Table1[[#This Row],[Gross Revenue]]-Table1[[#This Row],[Discount Amount]]</calculatedColumnFormula>
    </tableColumn>
    <tableColumn id="19" xr3:uid="{C08A4EAD-DBDE-44EE-A6E7-CC58832A4562}" name="Total_COGS" dataDxfId="1">
      <calculatedColumnFormula>Table1[[#This Row],[Units]]*Table1[[#This Row],[COGS_per_unit]]</calculatedColumnFormula>
    </tableColumn>
    <tableColumn id="20" xr3:uid="{E4A3775E-075F-4382-BC6D-97299BB3CC05}" name="Profit" dataDxfId="0">
      <calculatedColumnFormula>Table1[[#This Row],[Net_Revenue]]-Table1[[#This Row],[MarketingCost]]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B516-73FC-4E3B-BBA4-CA1BD330FCC0}">
  <dimension ref="A1:T61"/>
  <sheetViews>
    <sheetView tabSelected="1" workbookViewId="0">
      <selection sqref="A1:T6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3.109375" bestFit="1" customWidth="1"/>
    <col min="4" max="4" width="9.109375" bestFit="1" customWidth="1"/>
    <col min="5" max="5" width="6.21875" bestFit="1" customWidth="1"/>
    <col min="6" max="6" width="12.33203125" bestFit="1" customWidth="1"/>
    <col min="7" max="7" width="15.5546875" bestFit="1" customWidth="1"/>
    <col min="8" max="8" width="20.5546875" bestFit="1" customWidth="1"/>
    <col min="9" max="9" width="7.5546875" bestFit="1" customWidth="1"/>
    <col min="10" max="10" width="11" bestFit="1" customWidth="1"/>
    <col min="11" max="11" width="13.33203125" bestFit="1" customWidth="1"/>
    <col min="12" max="12" width="15.33203125" bestFit="1" customWidth="1"/>
    <col min="13" max="13" width="15.88671875" bestFit="1" customWidth="1"/>
    <col min="14" max="14" width="16" bestFit="1" customWidth="1"/>
    <col min="15" max="15" width="16.88671875" bestFit="1" customWidth="1"/>
    <col min="16" max="16" width="15.44140625" bestFit="1" customWidth="1"/>
    <col min="17" max="17" width="17.44140625" bestFit="1" customWidth="1"/>
    <col min="18" max="18" width="14" bestFit="1" customWidth="1"/>
    <col min="19" max="19" width="13.109375" bestFit="1" customWidth="1"/>
    <col min="20" max="20" width="8" bestFit="1" customWidth="1"/>
  </cols>
  <sheetData>
    <row r="1" spans="1:20" x14ac:dyDescent="0.3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</row>
    <row r="2" spans="1:20" x14ac:dyDescent="0.3">
      <c r="A2">
        <v>1001</v>
      </c>
      <c r="B2" s="1">
        <v>45658</v>
      </c>
      <c r="C2">
        <v>5039</v>
      </c>
      <c r="D2" t="s">
        <v>14</v>
      </c>
      <c r="E2">
        <v>21</v>
      </c>
      <c r="F2" t="s">
        <v>15</v>
      </c>
      <c r="G2" t="s">
        <v>16</v>
      </c>
      <c r="H2" t="s">
        <v>17</v>
      </c>
      <c r="I2">
        <v>2</v>
      </c>
      <c r="J2">
        <v>1999</v>
      </c>
      <c r="K2">
        <v>0.2</v>
      </c>
      <c r="L2">
        <v>1000</v>
      </c>
      <c r="M2">
        <v>150</v>
      </c>
      <c r="N2" t="s">
        <v>18</v>
      </c>
      <c r="O2" t="s">
        <v>19</v>
      </c>
      <c r="P2">
        <f>Table1[[#This Row],[Units]]*Table1[[#This Row],[UnitPrice]]</f>
        <v>3998</v>
      </c>
      <c r="Q2">
        <f>Table1[[#This Row],[Gross Revenue]]*Table1[[#This Row],[DiscountPct]]</f>
        <v>799.6</v>
      </c>
      <c r="R2">
        <f>Table1[[#This Row],[Gross Revenue]]-Table1[[#This Row],[Discount Amount]]</f>
        <v>3198.4</v>
      </c>
      <c r="S2" s="2">
        <f>Table1[[#This Row],[Units]]*Table1[[#This Row],[COGS_per_unit]]</f>
        <v>300</v>
      </c>
      <c r="T2" s="2">
        <f>Table1[[#This Row],[Net_Revenue]]-Table1[[#This Row],[MarketingCost]]</f>
        <v>2198.4</v>
      </c>
    </row>
    <row r="3" spans="1:20" x14ac:dyDescent="0.3">
      <c r="A3">
        <v>1002</v>
      </c>
      <c r="B3" s="1">
        <v>45659</v>
      </c>
      <c r="C3">
        <v>5029</v>
      </c>
      <c r="D3" t="s">
        <v>20</v>
      </c>
      <c r="E3">
        <v>31</v>
      </c>
      <c r="F3" t="s">
        <v>15</v>
      </c>
      <c r="G3" t="s">
        <v>21</v>
      </c>
      <c r="H3" t="s">
        <v>17</v>
      </c>
      <c r="I3">
        <v>1</v>
      </c>
      <c r="J3">
        <v>1999</v>
      </c>
      <c r="K3">
        <v>0</v>
      </c>
      <c r="L3">
        <v>200</v>
      </c>
      <c r="M3">
        <v>150</v>
      </c>
      <c r="N3" t="s">
        <v>22</v>
      </c>
      <c r="O3" t="s">
        <v>19</v>
      </c>
      <c r="P3">
        <f>Table1[[#This Row],[Units]]*Table1[[#This Row],[UnitPrice]]</f>
        <v>1999</v>
      </c>
      <c r="Q3">
        <f>Table1[[#This Row],[Gross Revenue]]*Table1[[#This Row],[DiscountPct]]</f>
        <v>0</v>
      </c>
      <c r="R3">
        <f>Table1[[#This Row],[Gross Revenue]]-Table1[[#This Row],[Discount Amount]]</f>
        <v>1999</v>
      </c>
      <c r="S3" s="2">
        <f>Table1[[#This Row],[Units]]*Table1[[#This Row],[COGS_per_unit]]</f>
        <v>150</v>
      </c>
      <c r="T3" s="2">
        <f>Table1[[#This Row],[Net_Revenue]]-Table1[[#This Row],[MarketingCost]]</f>
        <v>1799</v>
      </c>
    </row>
    <row r="4" spans="1:20" x14ac:dyDescent="0.3">
      <c r="A4">
        <v>1003</v>
      </c>
      <c r="B4" s="1">
        <v>45660</v>
      </c>
      <c r="C4">
        <v>5015</v>
      </c>
      <c r="D4" t="s">
        <v>23</v>
      </c>
      <c r="E4">
        <v>31</v>
      </c>
      <c r="F4" t="s">
        <v>15</v>
      </c>
      <c r="G4" t="s">
        <v>24</v>
      </c>
      <c r="H4" t="s">
        <v>25</v>
      </c>
      <c r="I4">
        <v>5</v>
      </c>
      <c r="J4">
        <v>499</v>
      </c>
      <c r="K4">
        <v>0</v>
      </c>
      <c r="L4">
        <v>500</v>
      </c>
      <c r="M4">
        <v>250</v>
      </c>
      <c r="N4" t="s">
        <v>26</v>
      </c>
      <c r="O4" t="s">
        <v>14</v>
      </c>
      <c r="P4">
        <f>Table1[[#This Row],[Units]]*Table1[[#This Row],[UnitPrice]]</f>
        <v>2495</v>
      </c>
      <c r="Q4">
        <f>Table1[[#This Row],[Gross Revenue]]*Table1[[#This Row],[DiscountPct]]</f>
        <v>0</v>
      </c>
      <c r="R4">
        <f>Table1[[#This Row],[Gross Revenue]]-Table1[[#This Row],[Discount Amount]]</f>
        <v>2495</v>
      </c>
      <c r="S4" s="2">
        <f>Table1[[#This Row],[Units]]*Table1[[#This Row],[COGS_per_unit]]</f>
        <v>1250</v>
      </c>
      <c r="T4" s="2">
        <f>Table1[[#This Row],[Net_Revenue]]-Table1[[#This Row],[MarketingCost]]</f>
        <v>1995</v>
      </c>
    </row>
    <row r="5" spans="1:20" x14ac:dyDescent="0.3">
      <c r="A5">
        <v>1004</v>
      </c>
      <c r="B5" s="1">
        <v>45661</v>
      </c>
      <c r="C5">
        <v>5043</v>
      </c>
      <c r="D5" t="s">
        <v>20</v>
      </c>
      <c r="E5">
        <v>29</v>
      </c>
      <c r="F5" t="s">
        <v>27</v>
      </c>
      <c r="G5" t="s">
        <v>21</v>
      </c>
      <c r="H5" t="s">
        <v>28</v>
      </c>
      <c r="I5">
        <v>4</v>
      </c>
      <c r="J5">
        <v>1999</v>
      </c>
      <c r="K5">
        <v>0.2</v>
      </c>
      <c r="L5">
        <v>200</v>
      </c>
      <c r="M5">
        <v>400</v>
      </c>
      <c r="N5" t="s">
        <v>26</v>
      </c>
      <c r="O5" t="s">
        <v>19</v>
      </c>
      <c r="P5">
        <f>Table1[[#This Row],[Units]]*Table1[[#This Row],[UnitPrice]]</f>
        <v>7996</v>
      </c>
      <c r="Q5">
        <f>Table1[[#This Row],[Gross Revenue]]*Table1[[#This Row],[DiscountPct]]</f>
        <v>1599.2</v>
      </c>
      <c r="R5">
        <f>Table1[[#This Row],[Gross Revenue]]-Table1[[#This Row],[Discount Amount]]</f>
        <v>6396.8</v>
      </c>
      <c r="S5" s="2">
        <f>Table1[[#This Row],[Units]]*Table1[[#This Row],[COGS_per_unit]]</f>
        <v>1600</v>
      </c>
      <c r="T5" s="2">
        <f>Table1[[#This Row],[Net_Revenue]]-Table1[[#This Row],[MarketingCost]]</f>
        <v>6196.8</v>
      </c>
    </row>
    <row r="6" spans="1:20" x14ac:dyDescent="0.3">
      <c r="A6">
        <v>1005</v>
      </c>
      <c r="B6" s="1">
        <v>45662</v>
      </c>
      <c r="C6">
        <v>5008</v>
      </c>
      <c r="D6" t="s">
        <v>20</v>
      </c>
      <c r="E6">
        <v>31</v>
      </c>
      <c r="F6" t="s">
        <v>15</v>
      </c>
      <c r="G6" t="s">
        <v>21</v>
      </c>
      <c r="H6" t="s">
        <v>28</v>
      </c>
      <c r="I6">
        <v>2</v>
      </c>
      <c r="J6">
        <v>1999</v>
      </c>
      <c r="K6">
        <v>0.15</v>
      </c>
      <c r="L6">
        <v>200</v>
      </c>
      <c r="M6">
        <v>600</v>
      </c>
      <c r="N6" t="s">
        <v>26</v>
      </c>
      <c r="O6" t="s">
        <v>29</v>
      </c>
      <c r="P6">
        <f>Table1[[#This Row],[Units]]*Table1[[#This Row],[UnitPrice]]</f>
        <v>3998</v>
      </c>
      <c r="Q6">
        <f>Table1[[#This Row],[Gross Revenue]]*Table1[[#This Row],[DiscountPct]]</f>
        <v>599.69999999999993</v>
      </c>
      <c r="R6">
        <f>Table1[[#This Row],[Gross Revenue]]-Table1[[#This Row],[Discount Amount]]</f>
        <v>3398.3</v>
      </c>
      <c r="S6" s="2">
        <f>Table1[[#This Row],[Units]]*Table1[[#This Row],[COGS_per_unit]]</f>
        <v>1200</v>
      </c>
      <c r="T6" s="2">
        <f>Table1[[#This Row],[Net_Revenue]]-Table1[[#This Row],[MarketingCost]]</f>
        <v>3198.3</v>
      </c>
    </row>
    <row r="7" spans="1:20" x14ac:dyDescent="0.3">
      <c r="A7">
        <v>1006</v>
      </c>
      <c r="B7" s="1">
        <v>45663</v>
      </c>
      <c r="C7">
        <v>5021</v>
      </c>
      <c r="D7" t="s">
        <v>23</v>
      </c>
      <c r="E7">
        <v>23</v>
      </c>
      <c r="F7" t="s">
        <v>30</v>
      </c>
      <c r="G7" t="s">
        <v>16</v>
      </c>
      <c r="H7" t="s">
        <v>31</v>
      </c>
      <c r="I7">
        <v>1</v>
      </c>
      <c r="J7">
        <v>1999</v>
      </c>
      <c r="K7">
        <v>0.1</v>
      </c>
      <c r="L7">
        <v>200</v>
      </c>
      <c r="M7">
        <v>600</v>
      </c>
      <c r="N7" t="s">
        <v>22</v>
      </c>
      <c r="O7" t="s">
        <v>32</v>
      </c>
      <c r="P7">
        <f>Table1[[#This Row],[Units]]*Table1[[#This Row],[UnitPrice]]</f>
        <v>1999</v>
      </c>
      <c r="Q7">
        <f>Table1[[#This Row],[Gross Revenue]]*Table1[[#This Row],[DiscountPct]]</f>
        <v>199.9</v>
      </c>
      <c r="R7">
        <f>Table1[[#This Row],[Gross Revenue]]-Table1[[#This Row],[Discount Amount]]</f>
        <v>1799.1</v>
      </c>
      <c r="S7" s="2">
        <f>Table1[[#This Row],[Units]]*Table1[[#This Row],[COGS_per_unit]]</f>
        <v>600</v>
      </c>
      <c r="T7" s="2">
        <f>Table1[[#This Row],[Net_Revenue]]-Table1[[#This Row],[MarketingCost]]</f>
        <v>1599.1</v>
      </c>
    </row>
    <row r="8" spans="1:20" x14ac:dyDescent="0.3">
      <c r="A8">
        <v>1007</v>
      </c>
      <c r="B8" s="1">
        <v>45664</v>
      </c>
      <c r="C8">
        <v>5039</v>
      </c>
      <c r="D8" t="s">
        <v>33</v>
      </c>
      <c r="E8">
        <v>19</v>
      </c>
      <c r="F8" t="s">
        <v>34</v>
      </c>
      <c r="G8" t="s">
        <v>16</v>
      </c>
      <c r="H8" t="s">
        <v>28</v>
      </c>
      <c r="I8">
        <v>4</v>
      </c>
      <c r="J8">
        <v>999</v>
      </c>
      <c r="K8">
        <v>0</v>
      </c>
      <c r="L8">
        <v>500</v>
      </c>
      <c r="M8">
        <v>150</v>
      </c>
      <c r="N8" t="s">
        <v>22</v>
      </c>
      <c r="O8" t="s">
        <v>14</v>
      </c>
      <c r="P8">
        <f>Table1[[#This Row],[Units]]*Table1[[#This Row],[UnitPrice]]</f>
        <v>3996</v>
      </c>
      <c r="Q8">
        <f>Table1[[#This Row],[Gross Revenue]]*Table1[[#This Row],[DiscountPct]]</f>
        <v>0</v>
      </c>
      <c r="R8">
        <f>Table1[[#This Row],[Gross Revenue]]-Table1[[#This Row],[Discount Amount]]</f>
        <v>3996</v>
      </c>
      <c r="S8" s="2">
        <f>Table1[[#This Row],[Units]]*Table1[[#This Row],[COGS_per_unit]]</f>
        <v>600</v>
      </c>
      <c r="T8" s="2">
        <f>Table1[[#This Row],[Net_Revenue]]-Table1[[#This Row],[MarketingCost]]</f>
        <v>3496</v>
      </c>
    </row>
    <row r="9" spans="1:20" x14ac:dyDescent="0.3">
      <c r="A9">
        <v>1008</v>
      </c>
      <c r="B9" s="1">
        <v>45665</v>
      </c>
      <c r="C9">
        <v>5019</v>
      </c>
      <c r="D9" t="s">
        <v>20</v>
      </c>
      <c r="E9">
        <v>31</v>
      </c>
      <c r="F9" t="s">
        <v>15</v>
      </c>
      <c r="G9" t="s">
        <v>35</v>
      </c>
      <c r="H9" t="s">
        <v>28</v>
      </c>
      <c r="I9">
        <v>5</v>
      </c>
      <c r="J9">
        <v>1499</v>
      </c>
      <c r="K9">
        <v>0</v>
      </c>
      <c r="L9">
        <v>200</v>
      </c>
      <c r="M9">
        <v>150</v>
      </c>
      <c r="N9" t="s">
        <v>26</v>
      </c>
      <c r="O9" t="s">
        <v>32</v>
      </c>
      <c r="P9">
        <f>Table1[[#This Row],[Units]]*Table1[[#This Row],[UnitPrice]]</f>
        <v>7495</v>
      </c>
      <c r="Q9">
        <f>Table1[[#This Row],[Gross Revenue]]*Table1[[#This Row],[DiscountPct]]</f>
        <v>0</v>
      </c>
      <c r="R9">
        <f>Table1[[#This Row],[Gross Revenue]]-Table1[[#This Row],[Discount Amount]]</f>
        <v>7495</v>
      </c>
      <c r="S9" s="2">
        <f>Table1[[#This Row],[Units]]*Table1[[#This Row],[COGS_per_unit]]</f>
        <v>750</v>
      </c>
      <c r="T9" s="2">
        <f>Table1[[#This Row],[Net_Revenue]]-Table1[[#This Row],[MarketingCost]]</f>
        <v>7295</v>
      </c>
    </row>
    <row r="10" spans="1:20" x14ac:dyDescent="0.3">
      <c r="A10">
        <v>1009</v>
      </c>
      <c r="B10" s="1">
        <v>45666</v>
      </c>
      <c r="C10">
        <v>5023</v>
      </c>
      <c r="D10" t="s">
        <v>20</v>
      </c>
      <c r="E10">
        <v>31</v>
      </c>
      <c r="F10" t="s">
        <v>27</v>
      </c>
      <c r="G10" t="s">
        <v>35</v>
      </c>
      <c r="H10" t="s">
        <v>28</v>
      </c>
      <c r="I10">
        <v>4</v>
      </c>
      <c r="J10">
        <v>799</v>
      </c>
      <c r="K10">
        <v>0.15</v>
      </c>
      <c r="L10">
        <v>1000</v>
      </c>
      <c r="M10">
        <v>250</v>
      </c>
      <c r="N10" t="s">
        <v>26</v>
      </c>
      <c r="O10" t="s">
        <v>19</v>
      </c>
      <c r="P10">
        <f>Table1[[#This Row],[Units]]*Table1[[#This Row],[UnitPrice]]</f>
        <v>3196</v>
      </c>
      <c r="Q10">
        <f>Table1[[#This Row],[Gross Revenue]]*Table1[[#This Row],[DiscountPct]]</f>
        <v>479.4</v>
      </c>
      <c r="R10">
        <f>Table1[[#This Row],[Gross Revenue]]-Table1[[#This Row],[Discount Amount]]</f>
        <v>2716.6</v>
      </c>
      <c r="S10" s="2">
        <f>Table1[[#This Row],[Units]]*Table1[[#This Row],[COGS_per_unit]]</f>
        <v>1000</v>
      </c>
      <c r="T10" s="2">
        <f>Table1[[#This Row],[Net_Revenue]]-Table1[[#This Row],[MarketingCost]]</f>
        <v>1716.6</v>
      </c>
    </row>
    <row r="11" spans="1:20" x14ac:dyDescent="0.3">
      <c r="A11">
        <v>1010</v>
      </c>
      <c r="B11" s="1">
        <v>45667</v>
      </c>
      <c r="C11">
        <v>5011</v>
      </c>
      <c r="D11" t="s">
        <v>23</v>
      </c>
      <c r="E11">
        <v>21</v>
      </c>
      <c r="F11" t="s">
        <v>27</v>
      </c>
      <c r="G11" t="s">
        <v>24</v>
      </c>
      <c r="H11" t="s">
        <v>36</v>
      </c>
      <c r="I11">
        <v>1</v>
      </c>
      <c r="J11">
        <v>999</v>
      </c>
      <c r="K11">
        <v>0.1</v>
      </c>
      <c r="L11">
        <v>500</v>
      </c>
      <c r="M11">
        <v>600</v>
      </c>
      <c r="N11" t="s">
        <v>26</v>
      </c>
      <c r="O11" t="s">
        <v>19</v>
      </c>
      <c r="P11">
        <f>Table1[[#This Row],[Units]]*Table1[[#This Row],[UnitPrice]]</f>
        <v>999</v>
      </c>
      <c r="Q11">
        <f>Table1[[#This Row],[Gross Revenue]]*Table1[[#This Row],[DiscountPct]]</f>
        <v>99.9</v>
      </c>
      <c r="R11">
        <f>Table1[[#This Row],[Gross Revenue]]-Table1[[#This Row],[Discount Amount]]</f>
        <v>899.1</v>
      </c>
      <c r="S11" s="2">
        <f>Table1[[#This Row],[Units]]*Table1[[#This Row],[COGS_per_unit]]</f>
        <v>600</v>
      </c>
      <c r="T11" s="2">
        <f>Table1[[#This Row],[Net_Revenue]]-Table1[[#This Row],[MarketingCost]]</f>
        <v>399.1</v>
      </c>
    </row>
    <row r="12" spans="1:20" x14ac:dyDescent="0.3">
      <c r="A12">
        <v>1011</v>
      </c>
      <c r="B12" s="1">
        <v>45668</v>
      </c>
      <c r="C12">
        <v>5011</v>
      </c>
      <c r="D12" t="s">
        <v>20</v>
      </c>
      <c r="E12">
        <v>21</v>
      </c>
      <c r="F12" t="s">
        <v>15</v>
      </c>
      <c r="G12" t="s">
        <v>35</v>
      </c>
      <c r="H12" t="s">
        <v>31</v>
      </c>
      <c r="I12">
        <v>4</v>
      </c>
      <c r="J12">
        <v>1999</v>
      </c>
      <c r="K12">
        <v>0.15</v>
      </c>
      <c r="L12">
        <v>500</v>
      </c>
      <c r="M12">
        <v>150</v>
      </c>
      <c r="N12" t="s">
        <v>26</v>
      </c>
      <c r="O12" t="s">
        <v>19</v>
      </c>
      <c r="P12">
        <f>Table1[[#This Row],[Units]]*Table1[[#This Row],[UnitPrice]]</f>
        <v>7996</v>
      </c>
      <c r="Q12">
        <f>Table1[[#This Row],[Gross Revenue]]*Table1[[#This Row],[DiscountPct]]</f>
        <v>1199.3999999999999</v>
      </c>
      <c r="R12">
        <f>Table1[[#This Row],[Gross Revenue]]-Table1[[#This Row],[Discount Amount]]</f>
        <v>6796.6</v>
      </c>
      <c r="S12" s="2">
        <f>Table1[[#This Row],[Units]]*Table1[[#This Row],[COGS_per_unit]]</f>
        <v>600</v>
      </c>
      <c r="T12" s="2">
        <f>Table1[[#This Row],[Net_Revenue]]-Table1[[#This Row],[MarketingCost]]</f>
        <v>6296.6</v>
      </c>
    </row>
    <row r="13" spans="1:20" x14ac:dyDescent="0.3">
      <c r="A13">
        <v>1012</v>
      </c>
      <c r="B13" s="1">
        <v>45669</v>
      </c>
      <c r="C13">
        <v>5024</v>
      </c>
      <c r="D13" t="s">
        <v>20</v>
      </c>
      <c r="E13">
        <v>25</v>
      </c>
      <c r="F13" t="s">
        <v>34</v>
      </c>
      <c r="G13" t="s">
        <v>21</v>
      </c>
      <c r="H13" t="s">
        <v>17</v>
      </c>
      <c r="I13">
        <v>3</v>
      </c>
      <c r="J13">
        <v>499</v>
      </c>
      <c r="K13">
        <v>0.15</v>
      </c>
      <c r="L13">
        <v>200</v>
      </c>
      <c r="M13">
        <v>400</v>
      </c>
      <c r="N13" t="s">
        <v>26</v>
      </c>
      <c r="O13" t="s">
        <v>29</v>
      </c>
      <c r="P13">
        <f>Table1[[#This Row],[Units]]*Table1[[#This Row],[UnitPrice]]</f>
        <v>1497</v>
      </c>
      <c r="Q13">
        <f>Table1[[#This Row],[Gross Revenue]]*Table1[[#This Row],[DiscountPct]]</f>
        <v>224.54999999999998</v>
      </c>
      <c r="R13">
        <f>Table1[[#This Row],[Gross Revenue]]-Table1[[#This Row],[Discount Amount]]</f>
        <v>1272.45</v>
      </c>
      <c r="S13" s="2">
        <f>Table1[[#This Row],[Units]]*Table1[[#This Row],[COGS_per_unit]]</f>
        <v>1200</v>
      </c>
      <c r="T13" s="2">
        <f>Table1[[#This Row],[Net_Revenue]]-Table1[[#This Row],[MarketingCost]]</f>
        <v>1072.45</v>
      </c>
    </row>
    <row r="14" spans="1:20" x14ac:dyDescent="0.3">
      <c r="A14">
        <v>1013</v>
      </c>
      <c r="B14" s="1">
        <v>45670</v>
      </c>
      <c r="C14">
        <v>5036</v>
      </c>
      <c r="D14" t="s">
        <v>23</v>
      </c>
      <c r="E14">
        <v>27</v>
      </c>
      <c r="F14" t="s">
        <v>15</v>
      </c>
      <c r="G14" t="s">
        <v>16</v>
      </c>
      <c r="H14" t="s">
        <v>25</v>
      </c>
      <c r="I14">
        <v>4</v>
      </c>
      <c r="J14">
        <v>1999</v>
      </c>
      <c r="K14">
        <v>0</v>
      </c>
      <c r="L14">
        <v>750</v>
      </c>
      <c r="M14">
        <v>400</v>
      </c>
      <c r="N14" t="s">
        <v>26</v>
      </c>
      <c r="O14" t="s">
        <v>29</v>
      </c>
      <c r="P14">
        <f>Table1[[#This Row],[Units]]*Table1[[#This Row],[UnitPrice]]</f>
        <v>7996</v>
      </c>
      <c r="Q14">
        <f>Table1[[#This Row],[Gross Revenue]]*Table1[[#This Row],[DiscountPct]]</f>
        <v>0</v>
      </c>
      <c r="R14">
        <f>Table1[[#This Row],[Gross Revenue]]-Table1[[#This Row],[Discount Amount]]</f>
        <v>7996</v>
      </c>
      <c r="S14" s="2">
        <f>Table1[[#This Row],[Units]]*Table1[[#This Row],[COGS_per_unit]]</f>
        <v>1600</v>
      </c>
      <c r="T14" s="2">
        <f>Table1[[#This Row],[Net_Revenue]]-Table1[[#This Row],[MarketingCost]]</f>
        <v>7246</v>
      </c>
    </row>
    <row r="15" spans="1:20" x14ac:dyDescent="0.3">
      <c r="A15">
        <v>1014</v>
      </c>
      <c r="B15" s="1">
        <v>45671</v>
      </c>
      <c r="C15">
        <v>5040</v>
      </c>
      <c r="D15" t="s">
        <v>23</v>
      </c>
      <c r="E15">
        <v>23</v>
      </c>
      <c r="F15" t="s">
        <v>27</v>
      </c>
      <c r="G15" t="s">
        <v>35</v>
      </c>
      <c r="H15" t="s">
        <v>17</v>
      </c>
      <c r="I15">
        <v>2</v>
      </c>
      <c r="J15">
        <v>1499</v>
      </c>
      <c r="K15">
        <v>0</v>
      </c>
      <c r="L15">
        <v>750</v>
      </c>
      <c r="M15">
        <v>150</v>
      </c>
      <c r="N15" t="s">
        <v>22</v>
      </c>
      <c r="O15" t="s">
        <v>32</v>
      </c>
      <c r="P15">
        <f>Table1[[#This Row],[Units]]*Table1[[#This Row],[UnitPrice]]</f>
        <v>2998</v>
      </c>
      <c r="Q15">
        <f>Table1[[#This Row],[Gross Revenue]]*Table1[[#This Row],[DiscountPct]]</f>
        <v>0</v>
      </c>
      <c r="R15">
        <f>Table1[[#This Row],[Gross Revenue]]-Table1[[#This Row],[Discount Amount]]</f>
        <v>2998</v>
      </c>
      <c r="S15" s="2">
        <f>Table1[[#This Row],[Units]]*Table1[[#This Row],[COGS_per_unit]]</f>
        <v>300</v>
      </c>
      <c r="T15" s="2">
        <f>Table1[[#This Row],[Net_Revenue]]-Table1[[#This Row],[MarketingCost]]</f>
        <v>2248</v>
      </c>
    </row>
    <row r="16" spans="1:20" x14ac:dyDescent="0.3">
      <c r="A16">
        <v>1015</v>
      </c>
      <c r="B16" s="1">
        <v>45672</v>
      </c>
      <c r="C16">
        <v>5024</v>
      </c>
      <c r="D16" t="s">
        <v>37</v>
      </c>
      <c r="E16">
        <v>31</v>
      </c>
      <c r="F16" t="s">
        <v>38</v>
      </c>
      <c r="G16" t="s">
        <v>35</v>
      </c>
      <c r="H16" t="s">
        <v>31</v>
      </c>
      <c r="I16">
        <v>2</v>
      </c>
      <c r="J16">
        <v>1999</v>
      </c>
      <c r="K16">
        <v>0.2</v>
      </c>
      <c r="L16">
        <v>1000</v>
      </c>
      <c r="M16">
        <v>150</v>
      </c>
      <c r="N16" t="s">
        <v>26</v>
      </c>
      <c r="O16" t="s">
        <v>19</v>
      </c>
      <c r="P16">
        <f>Table1[[#This Row],[Units]]*Table1[[#This Row],[UnitPrice]]</f>
        <v>3998</v>
      </c>
      <c r="Q16">
        <f>Table1[[#This Row],[Gross Revenue]]*Table1[[#This Row],[DiscountPct]]</f>
        <v>799.6</v>
      </c>
      <c r="R16">
        <f>Table1[[#This Row],[Gross Revenue]]-Table1[[#This Row],[Discount Amount]]</f>
        <v>3198.4</v>
      </c>
      <c r="S16" s="2">
        <f>Table1[[#This Row],[Units]]*Table1[[#This Row],[COGS_per_unit]]</f>
        <v>300</v>
      </c>
      <c r="T16" s="2">
        <f>Table1[[#This Row],[Net_Revenue]]-Table1[[#This Row],[MarketingCost]]</f>
        <v>2198.4</v>
      </c>
    </row>
    <row r="17" spans="1:20" x14ac:dyDescent="0.3">
      <c r="A17">
        <v>1016</v>
      </c>
      <c r="B17" s="1">
        <v>45673</v>
      </c>
      <c r="C17">
        <v>5003</v>
      </c>
      <c r="D17" t="s">
        <v>33</v>
      </c>
      <c r="E17">
        <v>27</v>
      </c>
      <c r="F17" t="s">
        <v>30</v>
      </c>
      <c r="G17" t="s">
        <v>24</v>
      </c>
      <c r="H17" t="s">
        <v>25</v>
      </c>
      <c r="I17">
        <v>3</v>
      </c>
      <c r="J17">
        <v>499</v>
      </c>
      <c r="K17">
        <v>0</v>
      </c>
      <c r="L17">
        <v>200</v>
      </c>
      <c r="M17">
        <v>600</v>
      </c>
      <c r="N17" t="s">
        <v>26</v>
      </c>
      <c r="O17" t="s">
        <v>14</v>
      </c>
      <c r="P17">
        <f>Table1[[#This Row],[Units]]*Table1[[#This Row],[UnitPrice]]</f>
        <v>1497</v>
      </c>
      <c r="Q17">
        <f>Table1[[#This Row],[Gross Revenue]]*Table1[[#This Row],[DiscountPct]]</f>
        <v>0</v>
      </c>
      <c r="R17">
        <f>Table1[[#This Row],[Gross Revenue]]-Table1[[#This Row],[Discount Amount]]</f>
        <v>1497</v>
      </c>
      <c r="S17" s="2">
        <f>Table1[[#This Row],[Units]]*Table1[[#This Row],[COGS_per_unit]]</f>
        <v>1800</v>
      </c>
      <c r="T17" s="2">
        <f>Table1[[#This Row],[Net_Revenue]]-Table1[[#This Row],[MarketingCost]]</f>
        <v>1297</v>
      </c>
    </row>
    <row r="18" spans="1:20" x14ac:dyDescent="0.3">
      <c r="A18">
        <v>1017</v>
      </c>
      <c r="B18" s="1">
        <v>45674</v>
      </c>
      <c r="C18">
        <v>5022</v>
      </c>
      <c r="D18" t="s">
        <v>33</v>
      </c>
      <c r="E18">
        <v>31</v>
      </c>
      <c r="F18" t="s">
        <v>27</v>
      </c>
      <c r="G18" t="s">
        <v>24</v>
      </c>
      <c r="H18" t="s">
        <v>31</v>
      </c>
      <c r="I18">
        <v>1</v>
      </c>
      <c r="J18">
        <v>1499</v>
      </c>
      <c r="K18">
        <v>0.1</v>
      </c>
      <c r="L18">
        <v>500</v>
      </c>
      <c r="M18">
        <v>600</v>
      </c>
      <c r="N18" t="s">
        <v>18</v>
      </c>
      <c r="O18" t="s">
        <v>29</v>
      </c>
      <c r="P18">
        <f>Table1[[#This Row],[Units]]*Table1[[#This Row],[UnitPrice]]</f>
        <v>1499</v>
      </c>
      <c r="Q18">
        <f>Table1[[#This Row],[Gross Revenue]]*Table1[[#This Row],[DiscountPct]]</f>
        <v>149.9</v>
      </c>
      <c r="R18">
        <f>Table1[[#This Row],[Gross Revenue]]-Table1[[#This Row],[Discount Amount]]</f>
        <v>1349.1</v>
      </c>
      <c r="S18" s="2">
        <f>Table1[[#This Row],[Units]]*Table1[[#This Row],[COGS_per_unit]]</f>
        <v>600</v>
      </c>
      <c r="T18" s="2">
        <f>Table1[[#This Row],[Net_Revenue]]-Table1[[#This Row],[MarketingCost]]</f>
        <v>849.09999999999991</v>
      </c>
    </row>
    <row r="19" spans="1:20" x14ac:dyDescent="0.3">
      <c r="A19">
        <v>1018</v>
      </c>
      <c r="B19" s="1">
        <v>45675</v>
      </c>
      <c r="C19">
        <v>5002</v>
      </c>
      <c r="D19" t="s">
        <v>20</v>
      </c>
      <c r="E19">
        <v>19</v>
      </c>
      <c r="F19" t="s">
        <v>15</v>
      </c>
      <c r="G19" t="s">
        <v>21</v>
      </c>
      <c r="H19" t="s">
        <v>28</v>
      </c>
      <c r="I19">
        <v>2</v>
      </c>
      <c r="J19">
        <v>1999</v>
      </c>
      <c r="K19">
        <v>0.1</v>
      </c>
      <c r="L19">
        <v>500</v>
      </c>
      <c r="M19">
        <v>250</v>
      </c>
      <c r="N19" t="s">
        <v>22</v>
      </c>
      <c r="O19" t="s">
        <v>14</v>
      </c>
      <c r="P19">
        <f>Table1[[#This Row],[Units]]*Table1[[#This Row],[UnitPrice]]</f>
        <v>3998</v>
      </c>
      <c r="Q19">
        <f>Table1[[#This Row],[Gross Revenue]]*Table1[[#This Row],[DiscountPct]]</f>
        <v>399.8</v>
      </c>
      <c r="R19">
        <f>Table1[[#This Row],[Gross Revenue]]-Table1[[#This Row],[Discount Amount]]</f>
        <v>3598.2</v>
      </c>
      <c r="S19" s="2">
        <f>Table1[[#This Row],[Units]]*Table1[[#This Row],[COGS_per_unit]]</f>
        <v>500</v>
      </c>
      <c r="T19" s="2">
        <f>Table1[[#This Row],[Net_Revenue]]-Table1[[#This Row],[MarketingCost]]</f>
        <v>3098.2</v>
      </c>
    </row>
    <row r="20" spans="1:20" x14ac:dyDescent="0.3">
      <c r="A20">
        <v>1019</v>
      </c>
      <c r="B20" s="1">
        <v>45676</v>
      </c>
      <c r="C20">
        <v>5024</v>
      </c>
      <c r="D20" t="s">
        <v>33</v>
      </c>
      <c r="E20">
        <v>25</v>
      </c>
      <c r="F20" t="s">
        <v>30</v>
      </c>
      <c r="G20" t="s">
        <v>16</v>
      </c>
      <c r="H20" t="s">
        <v>25</v>
      </c>
      <c r="I20">
        <v>5</v>
      </c>
      <c r="J20">
        <v>1499</v>
      </c>
      <c r="K20">
        <v>0.1</v>
      </c>
      <c r="L20">
        <v>200</v>
      </c>
      <c r="M20">
        <v>600</v>
      </c>
      <c r="N20" t="s">
        <v>22</v>
      </c>
      <c r="O20" t="s">
        <v>29</v>
      </c>
      <c r="P20">
        <f>Table1[[#This Row],[Units]]*Table1[[#This Row],[UnitPrice]]</f>
        <v>7495</v>
      </c>
      <c r="Q20">
        <f>Table1[[#This Row],[Gross Revenue]]*Table1[[#This Row],[DiscountPct]]</f>
        <v>749.5</v>
      </c>
      <c r="R20">
        <f>Table1[[#This Row],[Gross Revenue]]-Table1[[#This Row],[Discount Amount]]</f>
        <v>6745.5</v>
      </c>
      <c r="S20" s="2">
        <f>Table1[[#This Row],[Units]]*Table1[[#This Row],[COGS_per_unit]]</f>
        <v>3000</v>
      </c>
      <c r="T20" s="2">
        <f>Table1[[#This Row],[Net_Revenue]]-Table1[[#This Row],[MarketingCost]]</f>
        <v>6545.5</v>
      </c>
    </row>
    <row r="21" spans="1:20" x14ac:dyDescent="0.3">
      <c r="A21">
        <v>1020</v>
      </c>
      <c r="B21" s="1">
        <v>45677</v>
      </c>
      <c r="C21">
        <v>5044</v>
      </c>
      <c r="D21" t="s">
        <v>20</v>
      </c>
      <c r="E21">
        <v>27</v>
      </c>
      <c r="F21" t="s">
        <v>15</v>
      </c>
      <c r="G21" t="s">
        <v>24</v>
      </c>
      <c r="H21" t="s">
        <v>28</v>
      </c>
      <c r="I21">
        <v>2</v>
      </c>
      <c r="J21">
        <v>799</v>
      </c>
      <c r="K21">
        <v>0.1</v>
      </c>
      <c r="L21">
        <v>750</v>
      </c>
      <c r="M21">
        <v>400</v>
      </c>
      <c r="N21" t="s">
        <v>26</v>
      </c>
      <c r="O21" t="s">
        <v>19</v>
      </c>
      <c r="P21">
        <f>Table1[[#This Row],[Units]]*Table1[[#This Row],[UnitPrice]]</f>
        <v>1598</v>
      </c>
      <c r="Q21">
        <f>Table1[[#This Row],[Gross Revenue]]*Table1[[#This Row],[DiscountPct]]</f>
        <v>159.80000000000001</v>
      </c>
      <c r="R21">
        <f>Table1[[#This Row],[Gross Revenue]]-Table1[[#This Row],[Discount Amount]]</f>
        <v>1438.2</v>
      </c>
      <c r="S21" s="2">
        <f>Table1[[#This Row],[Units]]*Table1[[#This Row],[COGS_per_unit]]</f>
        <v>800</v>
      </c>
      <c r="T21" s="2">
        <f>Table1[[#This Row],[Net_Revenue]]-Table1[[#This Row],[MarketingCost]]</f>
        <v>688.2</v>
      </c>
    </row>
    <row r="22" spans="1:20" x14ac:dyDescent="0.3">
      <c r="A22">
        <v>1021</v>
      </c>
      <c r="B22" s="1">
        <v>45678</v>
      </c>
      <c r="C22">
        <v>5030</v>
      </c>
      <c r="D22" t="s">
        <v>37</v>
      </c>
      <c r="E22">
        <v>33</v>
      </c>
      <c r="F22" t="s">
        <v>15</v>
      </c>
      <c r="G22" t="s">
        <v>35</v>
      </c>
      <c r="H22" t="s">
        <v>17</v>
      </c>
      <c r="I22">
        <v>2</v>
      </c>
      <c r="J22">
        <v>799</v>
      </c>
      <c r="K22">
        <v>0.1</v>
      </c>
      <c r="L22">
        <v>500</v>
      </c>
      <c r="M22">
        <v>400</v>
      </c>
      <c r="N22" t="s">
        <v>26</v>
      </c>
      <c r="O22" t="s">
        <v>32</v>
      </c>
      <c r="P22">
        <f>Table1[[#This Row],[Units]]*Table1[[#This Row],[UnitPrice]]</f>
        <v>1598</v>
      </c>
      <c r="Q22">
        <f>Table1[[#This Row],[Gross Revenue]]*Table1[[#This Row],[DiscountPct]]</f>
        <v>159.80000000000001</v>
      </c>
      <c r="R22">
        <f>Table1[[#This Row],[Gross Revenue]]-Table1[[#This Row],[Discount Amount]]</f>
        <v>1438.2</v>
      </c>
      <c r="S22" s="2">
        <f>Table1[[#This Row],[Units]]*Table1[[#This Row],[COGS_per_unit]]</f>
        <v>800</v>
      </c>
      <c r="T22" s="2">
        <f>Table1[[#This Row],[Net_Revenue]]-Table1[[#This Row],[MarketingCost]]</f>
        <v>938.2</v>
      </c>
    </row>
    <row r="23" spans="1:20" x14ac:dyDescent="0.3">
      <c r="A23">
        <v>1022</v>
      </c>
      <c r="B23" s="1">
        <v>45679</v>
      </c>
      <c r="C23">
        <v>5038</v>
      </c>
      <c r="D23" t="s">
        <v>23</v>
      </c>
      <c r="E23">
        <v>25</v>
      </c>
      <c r="F23" t="s">
        <v>38</v>
      </c>
      <c r="G23" t="s">
        <v>16</v>
      </c>
      <c r="H23" t="s">
        <v>17</v>
      </c>
      <c r="I23">
        <v>1</v>
      </c>
      <c r="J23">
        <v>1999</v>
      </c>
      <c r="K23">
        <v>0.15</v>
      </c>
      <c r="L23">
        <v>500</v>
      </c>
      <c r="M23">
        <v>150</v>
      </c>
      <c r="N23" t="s">
        <v>26</v>
      </c>
      <c r="O23" t="s">
        <v>19</v>
      </c>
      <c r="P23">
        <f>Table1[[#This Row],[Units]]*Table1[[#This Row],[UnitPrice]]</f>
        <v>1999</v>
      </c>
      <c r="Q23">
        <f>Table1[[#This Row],[Gross Revenue]]*Table1[[#This Row],[DiscountPct]]</f>
        <v>299.84999999999997</v>
      </c>
      <c r="R23">
        <f>Table1[[#This Row],[Gross Revenue]]-Table1[[#This Row],[Discount Amount]]</f>
        <v>1699.15</v>
      </c>
      <c r="S23" s="2">
        <f>Table1[[#This Row],[Units]]*Table1[[#This Row],[COGS_per_unit]]</f>
        <v>150</v>
      </c>
      <c r="T23" s="2">
        <f>Table1[[#This Row],[Net_Revenue]]-Table1[[#This Row],[MarketingCost]]</f>
        <v>1199.1500000000001</v>
      </c>
    </row>
    <row r="24" spans="1:20" x14ac:dyDescent="0.3">
      <c r="A24">
        <v>1023</v>
      </c>
      <c r="B24" s="1">
        <v>45680</v>
      </c>
      <c r="C24">
        <v>5002</v>
      </c>
      <c r="D24" t="s">
        <v>23</v>
      </c>
      <c r="E24">
        <v>29</v>
      </c>
      <c r="F24" t="s">
        <v>30</v>
      </c>
      <c r="G24" t="s">
        <v>16</v>
      </c>
      <c r="H24" t="s">
        <v>25</v>
      </c>
      <c r="I24">
        <v>4</v>
      </c>
      <c r="J24">
        <v>1499</v>
      </c>
      <c r="K24">
        <v>0</v>
      </c>
      <c r="L24">
        <v>350</v>
      </c>
      <c r="M24">
        <v>600</v>
      </c>
      <c r="N24" t="s">
        <v>26</v>
      </c>
      <c r="O24" t="s">
        <v>19</v>
      </c>
      <c r="P24">
        <f>Table1[[#This Row],[Units]]*Table1[[#This Row],[UnitPrice]]</f>
        <v>5996</v>
      </c>
      <c r="Q24">
        <f>Table1[[#This Row],[Gross Revenue]]*Table1[[#This Row],[DiscountPct]]</f>
        <v>0</v>
      </c>
      <c r="R24">
        <f>Table1[[#This Row],[Gross Revenue]]-Table1[[#This Row],[Discount Amount]]</f>
        <v>5996</v>
      </c>
      <c r="S24" s="2">
        <f>Table1[[#This Row],[Units]]*Table1[[#This Row],[COGS_per_unit]]</f>
        <v>2400</v>
      </c>
      <c r="T24" s="2">
        <f>Table1[[#This Row],[Net_Revenue]]-Table1[[#This Row],[MarketingCost]]</f>
        <v>5646</v>
      </c>
    </row>
    <row r="25" spans="1:20" x14ac:dyDescent="0.3">
      <c r="A25">
        <v>1024</v>
      </c>
      <c r="B25" s="1">
        <v>45681</v>
      </c>
      <c r="C25">
        <v>5021</v>
      </c>
      <c r="D25" t="s">
        <v>23</v>
      </c>
      <c r="E25">
        <v>27</v>
      </c>
      <c r="F25" t="s">
        <v>30</v>
      </c>
      <c r="G25" t="s">
        <v>35</v>
      </c>
      <c r="H25" t="s">
        <v>25</v>
      </c>
      <c r="I25">
        <v>2</v>
      </c>
      <c r="J25">
        <v>499</v>
      </c>
      <c r="K25">
        <v>0.15</v>
      </c>
      <c r="L25">
        <v>1000</v>
      </c>
      <c r="M25">
        <v>250</v>
      </c>
      <c r="N25" t="s">
        <v>26</v>
      </c>
      <c r="O25" t="s">
        <v>29</v>
      </c>
      <c r="P25">
        <f>Table1[[#This Row],[Units]]*Table1[[#This Row],[UnitPrice]]</f>
        <v>998</v>
      </c>
      <c r="Q25">
        <f>Table1[[#This Row],[Gross Revenue]]*Table1[[#This Row],[DiscountPct]]</f>
        <v>149.69999999999999</v>
      </c>
      <c r="R25">
        <f>Table1[[#This Row],[Gross Revenue]]-Table1[[#This Row],[Discount Amount]]</f>
        <v>848.3</v>
      </c>
      <c r="S25" s="2">
        <f>Table1[[#This Row],[Units]]*Table1[[#This Row],[COGS_per_unit]]</f>
        <v>500</v>
      </c>
      <c r="T25" s="2">
        <f>Table1[[#This Row],[Net_Revenue]]-Table1[[#This Row],[MarketingCost]]</f>
        <v>-151.70000000000005</v>
      </c>
    </row>
    <row r="26" spans="1:20" x14ac:dyDescent="0.3">
      <c r="A26">
        <v>1025</v>
      </c>
      <c r="B26" s="1">
        <v>45682</v>
      </c>
      <c r="C26">
        <v>5033</v>
      </c>
      <c r="D26" t="s">
        <v>14</v>
      </c>
      <c r="E26">
        <v>31</v>
      </c>
      <c r="F26" t="s">
        <v>38</v>
      </c>
      <c r="G26" t="s">
        <v>24</v>
      </c>
      <c r="H26" t="s">
        <v>31</v>
      </c>
      <c r="I26">
        <v>3</v>
      </c>
      <c r="J26">
        <v>1999</v>
      </c>
      <c r="K26">
        <v>0.2</v>
      </c>
      <c r="L26">
        <v>1000</v>
      </c>
      <c r="M26">
        <v>400</v>
      </c>
      <c r="N26" t="s">
        <v>26</v>
      </c>
      <c r="O26" t="s">
        <v>19</v>
      </c>
      <c r="P26">
        <f>Table1[[#This Row],[Units]]*Table1[[#This Row],[UnitPrice]]</f>
        <v>5997</v>
      </c>
      <c r="Q26">
        <f>Table1[[#This Row],[Gross Revenue]]*Table1[[#This Row],[DiscountPct]]</f>
        <v>1199.4000000000001</v>
      </c>
      <c r="R26">
        <f>Table1[[#This Row],[Gross Revenue]]-Table1[[#This Row],[Discount Amount]]</f>
        <v>4797.6000000000004</v>
      </c>
      <c r="S26" s="2">
        <f>Table1[[#This Row],[Units]]*Table1[[#This Row],[COGS_per_unit]]</f>
        <v>1200</v>
      </c>
      <c r="T26" s="2">
        <f>Table1[[#This Row],[Net_Revenue]]-Table1[[#This Row],[MarketingCost]]</f>
        <v>3797.6000000000004</v>
      </c>
    </row>
    <row r="27" spans="1:20" x14ac:dyDescent="0.3">
      <c r="A27">
        <v>1026</v>
      </c>
      <c r="B27" s="1">
        <v>45683</v>
      </c>
      <c r="C27">
        <v>5012</v>
      </c>
      <c r="D27" t="s">
        <v>37</v>
      </c>
      <c r="E27">
        <v>31</v>
      </c>
      <c r="F27" t="s">
        <v>27</v>
      </c>
      <c r="G27" t="s">
        <v>35</v>
      </c>
      <c r="H27" t="s">
        <v>31</v>
      </c>
      <c r="I27">
        <v>4</v>
      </c>
      <c r="J27">
        <v>799</v>
      </c>
      <c r="K27">
        <v>0.1</v>
      </c>
      <c r="L27">
        <v>500</v>
      </c>
      <c r="M27">
        <v>400</v>
      </c>
      <c r="N27" t="s">
        <v>26</v>
      </c>
      <c r="O27" t="s">
        <v>19</v>
      </c>
      <c r="P27">
        <f>Table1[[#This Row],[Units]]*Table1[[#This Row],[UnitPrice]]</f>
        <v>3196</v>
      </c>
      <c r="Q27">
        <f>Table1[[#This Row],[Gross Revenue]]*Table1[[#This Row],[DiscountPct]]</f>
        <v>319.60000000000002</v>
      </c>
      <c r="R27">
        <f>Table1[[#This Row],[Gross Revenue]]-Table1[[#This Row],[Discount Amount]]</f>
        <v>2876.4</v>
      </c>
      <c r="S27" s="2">
        <f>Table1[[#This Row],[Units]]*Table1[[#This Row],[COGS_per_unit]]</f>
        <v>1600</v>
      </c>
      <c r="T27" s="2">
        <f>Table1[[#This Row],[Net_Revenue]]-Table1[[#This Row],[MarketingCost]]</f>
        <v>2376.4</v>
      </c>
    </row>
    <row r="28" spans="1:20" x14ac:dyDescent="0.3">
      <c r="A28">
        <v>1027</v>
      </c>
      <c r="B28" s="1">
        <v>45684</v>
      </c>
      <c r="C28">
        <v>5022</v>
      </c>
      <c r="D28" t="s">
        <v>33</v>
      </c>
      <c r="E28">
        <v>27</v>
      </c>
      <c r="F28" t="s">
        <v>15</v>
      </c>
      <c r="G28" t="s">
        <v>16</v>
      </c>
      <c r="H28" t="s">
        <v>28</v>
      </c>
      <c r="I28">
        <v>5</v>
      </c>
      <c r="J28">
        <v>799</v>
      </c>
      <c r="K28">
        <v>0</v>
      </c>
      <c r="L28">
        <v>750</v>
      </c>
      <c r="M28">
        <v>250</v>
      </c>
      <c r="N28" t="s">
        <v>26</v>
      </c>
      <c r="O28" t="s">
        <v>29</v>
      </c>
      <c r="P28">
        <f>Table1[[#This Row],[Units]]*Table1[[#This Row],[UnitPrice]]</f>
        <v>3995</v>
      </c>
      <c r="Q28">
        <f>Table1[[#This Row],[Gross Revenue]]*Table1[[#This Row],[DiscountPct]]</f>
        <v>0</v>
      </c>
      <c r="R28">
        <f>Table1[[#This Row],[Gross Revenue]]-Table1[[#This Row],[Discount Amount]]</f>
        <v>3995</v>
      </c>
      <c r="S28" s="2">
        <f>Table1[[#This Row],[Units]]*Table1[[#This Row],[COGS_per_unit]]</f>
        <v>1250</v>
      </c>
      <c r="T28" s="2">
        <f>Table1[[#This Row],[Net_Revenue]]-Table1[[#This Row],[MarketingCost]]</f>
        <v>3245</v>
      </c>
    </row>
    <row r="29" spans="1:20" x14ac:dyDescent="0.3">
      <c r="A29">
        <v>1028</v>
      </c>
      <c r="B29" s="1">
        <v>45685</v>
      </c>
      <c r="C29">
        <v>5044</v>
      </c>
      <c r="D29" t="s">
        <v>33</v>
      </c>
      <c r="E29">
        <v>31</v>
      </c>
      <c r="F29" t="s">
        <v>34</v>
      </c>
      <c r="G29" t="s">
        <v>39</v>
      </c>
      <c r="H29" t="s">
        <v>25</v>
      </c>
      <c r="I29">
        <v>1</v>
      </c>
      <c r="J29">
        <v>1999</v>
      </c>
      <c r="K29">
        <v>0</v>
      </c>
      <c r="L29">
        <v>200</v>
      </c>
      <c r="M29">
        <v>250</v>
      </c>
      <c r="N29" t="s">
        <v>26</v>
      </c>
      <c r="O29" t="s">
        <v>32</v>
      </c>
      <c r="P29">
        <f>Table1[[#This Row],[Units]]*Table1[[#This Row],[UnitPrice]]</f>
        <v>1999</v>
      </c>
      <c r="Q29">
        <f>Table1[[#This Row],[Gross Revenue]]*Table1[[#This Row],[DiscountPct]]</f>
        <v>0</v>
      </c>
      <c r="R29">
        <f>Table1[[#This Row],[Gross Revenue]]-Table1[[#This Row],[Discount Amount]]</f>
        <v>1999</v>
      </c>
      <c r="S29" s="2">
        <f>Table1[[#This Row],[Units]]*Table1[[#This Row],[COGS_per_unit]]</f>
        <v>250</v>
      </c>
      <c r="T29" s="2">
        <f>Table1[[#This Row],[Net_Revenue]]-Table1[[#This Row],[MarketingCost]]</f>
        <v>1799</v>
      </c>
    </row>
    <row r="30" spans="1:20" x14ac:dyDescent="0.3">
      <c r="A30">
        <v>1029</v>
      </c>
      <c r="B30" s="1">
        <v>45686</v>
      </c>
      <c r="C30">
        <v>5025</v>
      </c>
      <c r="D30" t="s">
        <v>37</v>
      </c>
      <c r="E30">
        <v>23</v>
      </c>
      <c r="F30" t="s">
        <v>15</v>
      </c>
      <c r="G30" t="s">
        <v>39</v>
      </c>
      <c r="H30" t="s">
        <v>17</v>
      </c>
      <c r="I30">
        <v>5</v>
      </c>
      <c r="J30">
        <v>1499</v>
      </c>
      <c r="K30">
        <v>0</v>
      </c>
      <c r="L30">
        <v>750</v>
      </c>
      <c r="M30">
        <v>400</v>
      </c>
      <c r="N30" t="s">
        <v>26</v>
      </c>
      <c r="O30" t="s">
        <v>32</v>
      </c>
      <c r="P30">
        <f>Table1[[#This Row],[Units]]*Table1[[#This Row],[UnitPrice]]</f>
        <v>7495</v>
      </c>
      <c r="Q30">
        <f>Table1[[#This Row],[Gross Revenue]]*Table1[[#This Row],[DiscountPct]]</f>
        <v>0</v>
      </c>
      <c r="R30">
        <f>Table1[[#This Row],[Gross Revenue]]-Table1[[#This Row],[Discount Amount]]</f>
        <v>7495</v>
      </c>
      <c r="S30" s="2">
        <f>Table1[[#This Row],[Units]]*Table1[[#This Row],[COGS_per_unit]]</f>
        <v>2000</v>
      </c>
      <c r="T30" s="2">
        <f>Table1[[#This Row],[Net_Revenue]]-Table1[[#This Row],[MarketingCost]]</f>
        <v>6745</v>
      </c>
    </row>
    <row r="31" spans="1:20" x14ac:dyDescent="0.3">
      <c r="A31">
        <v>1030</v>
      </c>
      <c r="B31" s="1">
        <v>45687</v>
      </c>
      <c r="C31">
        <v>5049</v>
      </c>
      <c r="D31" t="s">
        <v>37</v>
      </c>
      <c r="E31">
        <v>27</v>
      </c>
      <c r="F31" t="s">
        <v>15</v>
      </c>
      <c r="G31" t="s">
        <v>21</v>
      </c>
      <c r="H31" t="s">
        <v>31</v>
      </c>
      <c r="I31">
        <v>4</v>
      </c>
      <c r="J31">
        <v>799</v>
      </c>
      <c r="K31">
        <v>0.15</v>
      </c>
      <c r="L31">
        <v>500</v>
      </c>
      <c r="M31">
        <v>400</v>
      </c>
      <c r="N31" t="s">
        <v>26</v>
      </c>
      <c r="O31" t="s">
        <v>29</v>
      </c>
      <c r="P31">
        <f>Table1[[#This Row],[Units]]*Table1[[#This Row],[UnitPrice]]</f>
        <v>3196</v>
      </c>
      <c r="Q31">
        <f>Table1[[#This Row],[Gross Revenue]]*Table1[[#This Row],[DiscountPct]]</f>
        <v>479.4</v>
      </c>
      <c r="R31">
        <f>Table1[[#This Row],[Gross Revenue]]-Table1[[#This Row],[Discount Amount]]</f>
        <v>2716.6</v>
      </c>
      <c r="S31" s="2">
        <f>Table1[[#This Row],[Units]]*Table1[[#This Row],[COGS_per_unit]]</f>
        <v>1600</v>
      </c>
      <c r="T31" s="2">
        <f>Table1[[#This Row],[Net_Revenue]]-Table1[[#This Row],[MarketingCost]]</f>
        <v>2216.6</v>
      </c>
    </row>
    <row r="32" spans="1:20" x14ac:dyDescent="0.3">
      <c r="A32">
        <v>1031</v>
      </c>
      <c r="B32" s="1">
        <v>45688</v>
      </c>
      <c r="C32">
        <v>5027</v>
      </c>
      <c r="D32" t="s">
        <v>37</v>
      </c>
      <c r="E32">
        <v>25</v>
      </c>
      <c r="F32" t="s">
        <v>27</v>
      </c>
      <c r="G32" t="s">
        <v>35</v>
      </c>
      <c r="H32" t="s">
        <v>31</v>
      </c>
      <c r="I32">
        <v>4</v>
      </c>
      <c r="J32">
        <v>1499</v>
      </c>
      <c r="K32">
        <v>0</v>
      </c>
      <c r="L32">
        <v>1000</v>
      </c>
      <c r="M32">
        <v>250</v>
      </c>
      <c r="N32" t="s">
        <v>26</v>
      </c>
      <c r="O32" t="s">
        <v>29</v>
      </c>
      <c r="P32">
        <f>Table1[[#This Row],[Units]]*Table1[[#This Row],[UnitPrice]]</f>
        <v>5996</v>
      </c>
      <c r="Q32">
        <f>Table1[[#This Row],[Gross Revenue]]*Table1[[#This Row],[DiscountPct]]</f>
        <v>0</v>
      </c>
      <c r="R32">
        <f>Table1[[#This Row],[Gross Revenue]]-Table1[[#This Row],[Discount Amount]]</f>
        <v>5996</v>
      </c>
      <c r="S32" s="2">
        <f>Table1[[#This Row],[Units]]*Table1[[#This Row],[COGS_per_unit]]</f>
        <v>1000</v>
      </c>
      <c r="T32" s="2">
        <f>Table1[[#This Row],[Net_Revenue]]-Table1[[#This Row],[MarketingCost]]</f>
        <v>4996</v>
      </c>
    </row>
    <row r="33" spans="1:20" x14ac:dyDescent="0.3">
      <c r="A33">
        <v>1032</v>
      </c>
      <c r="B33" s="1">
        <v>45689</v>
      </c>
      <c r="C33">
        <v>5042</v>
      </c>
      <c r="D33" t="s">
        <v>37</v>
      </c>
      <c r="E33">
        <v>27</v>
      </c>
      <c r="F33" t="s">
        <v>15</v>
      </c>
      <c r="G33" t="s">
        <v>35</v>
      </c>
      <c r="H33" t="s">
        <v>17</v>
      </c>
      <c r="I33">
        <v>4</v>
      </c>
      <c r="J33">
        <v>799</v>
      </c>
      <c r="K33">
        <v>0</v>
      </c>
      <c r="L33">
        <v>500</v>
      </c>
      <c r="M33">
        <v>400</v>
      </c>
      <c r="N33" t="s">
        <v>26</v>
      </c>
      <c r="O33" t="s">
        <v>29</v>
      </c>
      <c r="P33">
        <f>Table1[[#This Row],[Units]]*Table1[[#This Row],[UnitPrice]]</f>
        <v>3196</v>
      </c>
      <c r="Q33">
        <f>Table1[[#This Row],[Gross Revenue]]*Table1[[#This Row],[DiscountPct]]</f>
        <v>0</v>
      </c>
      <c r="R33">
        <f>Table1[[#This Row],[Gross Revenue]]-Table1[[#This Row],[Discount Amount]]</f>
        <v>3196</v>
      </c>
      <c r="S33" s="2">
        <f>Table1[[#This Row],[Units]]*Table1[[#This Row],[COGS_per_unit]]</f>
        <v>1600</v>
      </c>
      <c r="T33" s="2">
        <f>Table1[[#This Row],[Net_Revenue]]-Table1[[#This Row],[MarketingCost]]</f>
        <v>2696</v>
      </c>
    </row>
    <row r="34" spans="1:20" x14ac:dyDescent="0.3">
      <c r="A34">
        <v>1033</v>
      </c>
      <c r="B34" s="1">
        <v>45690</v>
      </c>
      <c r="C34">
        <v>5028</v>
      </c>
      <c r="D34" t="s">
        <v>23</v>
      </c>
      <c r="E34">
        <v>33</v>
      </c>
      <c r="F34" t="s">
        <v>38</v>
      </c>
      <c r="G34" t="s">
        <v>21</v>
      </c>
      <c r="H34" t="s">
        <v>31</v>
      </c>
      <c r="I34">
        <v>5</v>
      </c>
      <c r="J34">
        <v>799</v>
      </c>
      <c r="K34">
        <v>0.2</v>
      </c>
      <c r="L34">
        <v>1000</v>
      </c>
      <c r="M34">
        <v>150</v>
      </c>
      <c r="N34" t="s">
        <v>26</v>
      </c>
      <c r="O34" t="s">
        <v>29</v>
      </c>
      <c r="P34">
        <f>Table1[[#This Row],[Units]]*Table1[[#This Row],[UnitPrice]]</f>
        <v>3995</v>
      </c>
      <c r="Q34">
        <f>Table1[[#This Row],[Gross Revenue]]*Table1[[#This Row],[DiscountPct]]</f>
        <v>799</v>
      </c>
      <c r="R34">
        <f>Table1[[#This Row],[Gross Revenue]]-Table1[[#This Row],[Discount Amount]]</f>
        <v>3196</v>
      </c>
      <c r="S34" s="2">
        <f>Table1[[#This Row],[Units]]*Table1[[#This Row],[COGS_per_unit]]</f>
        <v>750</v>
      </c>
      <c r="T34" s="2">
        <f>Table1[[#This Row],[Net_Revenue]]-Table1[[#This Row],[MarketingCost]]</f>
        <v>2196</v>
      </c>
    </row>
    <row r="35" spans="1:20" x14ac:dyDescent="0.3">
      <c r="A35">
        <v>1034</v>
      </c>
      <c r="B35" s="1">
        <v>45691</v>
      </c>
      <c r="C35">
        <v>5016</v>
      </c>
      <c r="D35" t="s">
        <v>40</v>
      </c>
      <c r="E35">
        <v>31</v>
      </c>
      <c r="F35" t="s">
        <v>38</v>
      </c>
      <c r="G35" t="s">
        <v>21</v>
      </c>
      <c r="H35" t="s">
        <v>28</v>
      </c>
      <c r="I35">
        <v>4</v>
      </c>
      <c r="J35">
        <v>999</v>
      </c>
      <c r="K35">
        <v>0</v>
      </c>
      <c r="L35">
        <v>200</v>
      </c>
      <c r="M35">
        <v>150</v>
      </c>
      <c r="N35" t="s">
        <v>26</v>
      </c>
      <c r="O35" t="s">
        <v>29</v>
      </c>
      <c r="P35">
        <f>Table1[[#This Row],[Units]]*Table1[[#This Row],[UnitPrice]]</f>
        <v>3996</v>
      </c>
      <c r="Q35">
        <f>Table1[[#This Row],[Gross Revenue]]*Table1[[#This Row],[DiscountPct]]</f>
        <v>0</v>
      </c>
      <c r="R35">
        <f>Table1[[#This Row],[Gross Revenue]]-Table1[[#This Row],[Discount Amount]]</f>
        <v>3996</v>
      </c>
      <c r="S35" s="2">
        <f>Table1[[#This Row],[Units]]*Table1[[#This Row],[COGS_per_unit]]</f>
        <v>600</v>
      </c>
      <c r="T35" s="2">
        <f>Table1[[#This Row],[Net_Revenue]]-Table1[[#This Row],[MarketingCost]]</f>
        <v>3796</v>
      </c>
    </row>
    <row r="36" spans="1:20" x14ac:dyDescent="0.3">
      <c r="A36">
        <v>1035</v>
      </c>
      <c r="B36" s="1">
        <v>45692</v>
      </c>
      <c r="C36">
        <v>5015</v>
      </c>
      <c r="D36" t="s">
        <v>14</v>
      </c>
      <c r="E36">
        <v>23</v>
      </c>
      <c r="F36" t="s">
        <v>30</v>
      </c>
      <c r="G36" t="s">
        <v>21</v>
      </c>
      <c r="H36" t="s">
        <v>25</v>
      </c>
      <c r="I36">
        <v>5</v>
      </c>
      <c r="J36">
        <v>799</v>
      </c>
      <c r="K36">
        <v>0</v>
      </c>
      <c r="L36">
        <v>1000</v>
      </c>
      <c r="M36">
        <v>250</v>
      </c>
      <c r="N36" t="s">
        <v>26</v>
      </c>
      <c r="O36" t="s">
        <v>32</v>
      </c>
      <c r="P36">
        <f>Table1[[#This Row],[Units]]*Table1[[#This Row],[UnitPrice]]</f>
        <v>3995</v>
      </c>
      <c r="Q36">
        <f>Table1[[#This Row],[Gross Revenue]]*Table1[[#This Row],[DiscountPct]]</f>
        <v>0</v>
      </c>
      <c r="R36">
        <f>Table1[[#This Row],[Gross Revenue]]-Table1[[#This Row],[Discount Amount]]</f>
        <v>3995</v>
      </c>
      <c r="S36" s="2">
        <f>Table1[[#This Row],[Units]]*Table1[[#This Row],[COGS_per_unit]]</f>
        <v>1250</v>
      </c>
      <c r="T36" s="2">
        <f>Table1[[#This Row],[Net_Revenue]]-Table1[[#This Row],[MarketingCost]]</f>
        <v>2995</v>
      </c>
    </row>
    <row r="37" spans="1:20" x14ac:dyDescent="0.3">
      <c r="A37">
        <v>1036</v>
      </c>
      <c r="B37" s="1">
        <v>45693</v>
      </c>
      <c r="C37">
        <v>5047</v>
      </c>
      <c r="D37" t="s">
        <v>37</v>
      </c>
      <c r="E37">
        <v>23</v>
      </c>
      <c r="F37" t="s">
        <v>34</v>
      </c>
      <c r="G37" t="s">
        <v>16</v>
      </c>
      <c r="H37" t="s">
        <v>17</v>
      </c>
      <c r="I37">
        <v>4</v>
      </c>
      <c r="J37">
        <v>499</v>
      </c>
      <c r="K37">
        <v>0</v>
      </c>
      <c r="L37">
        <v>1000</v>
      </c>
      <c r="M37">
        <v>600</v>
      </c>
      <c r="N37" t="s">
        <v>26</v>
      </c>
      <c r="O37" t="s">
        <v>32</v>
      </c>
      <c r="P37">
        <f>Table1[[#This Row],[Units]]*Table1[[#This Row],[UnitPrice]]</f>
        <v>1996</v>
      </c>
      <c r="Q37">
        <f>Table1[[#This Row],[Gross Revenue]]*Table1[[#This Row],[DiscountPct]]</f>
        <v>0</v>
      </c>
      <c r="R37">
        <f>Table1[[#This Row],[Gross Revenue]]-Table1[[#This Row],[Discount Amount]]</f>
        <v>1996</v>
      </c>
      <c r="S37" s="2">
        <f>Table1[[#This Row],[Units]]*Table1[[#This Row],[COGS_per_unit]]</f>
        <v>2400</v>
      </c>
      <c r="T37" s="2">
        <f>Table1[[#This Row],[Net_Revenue]]-Table1[[#This Row],[MarketingCost]]</f>
        <v>996</v>
      </c>
    </row>
    <row r="38" spans="1:20" x14ac:dyDescent="0.3">
      <c r="A38">
        <v>1037</v>
      </c>
      <c r="B38" s="1">
        <v>45694</v>
      </c>
      <c r="C38">
        <v>5044</v>
      </c>
      <c r="D38" t="s">
        <v>40</v>
      </c>
      <c r="E38">
        <v>27</v>
      </c>
      <c r="F38" t="s">
        <v>15</v>
      </c>
      <c r="G38" t="s">
        <v>35</v>
      </c>
      <c r="H38" t="s">
        <v>25</v>
      </c>
      <c r="I38">
        <v>3</v>
      </c>
      <c r="J38">
        <v>1999</v>
      </c>
      <c r="K38">
        <v>0</v>
      </c>
      <c r="L38">
        <v>350</v>
      </c>
      <c r="M38">
        <v>250</v>
      </c>
      <c r="N38" t="s">
        <v>26</v>
      </c>
      <c r="O38" t="s">
        <v>29</v>
      </c>
      <c r="P38">
        <f>Table1[[#This Row],[Units]]*Table1[[#This Row],[UnitPrice]]</f>
        <v>5997</v>
      </c>
      <c r="Q38">
        <f>Table1[[#This Row],[Gross Revenue]]*Table1[[#This Row],[DiscountPct]]</f>
        <v>0</v>
      </c>
      <c r="R38">
        <f>Table1[[#This Row],[Gross Revenue]]-Table1[[#This Row],[Discount Amount]]</f>
        <v>5997</v>
      </c>
      <c r="S38" s="2">
        <f>Table1[[#This Row],[Units]]*Table1[[#This Row],[COGS_per_unit]]</f>
        <v>750</v>
      </c>
      <c r="T38" s="2">
        <f>Table1[[#This Row],[Net_Revenue]]-Table1[[#This Row],[MarketingCost]]</f>
        <v>5647</v>
      </c>
    </row>
    <row r="39" spans="1:20" x14ac:dyDescent="0.3">
      <c r="A39">
        <v>1038</v>
      </c>
      <c r="B39" s="1">
        <v>45695</v>
      </c>
      <c r="C39">
        <v>5003</v>
      </c>
      <c r="D39" t="s">
        <v>40</v>
      </c>
      <c r="E39">
        <v>27</v>
      </c>
      <c r="F39" t="s">
        <v>15</v>
      </c>
      <c r="G39" t="s">
        <v>16</v>
      </c>
      <c r="H39" t="s">
        <v>31</v>
      </c>
      <c r="I39">
        <v>4</v>
      </c>
      <c r="J39">
        <v>1999</v>
      </c>
      <c r="K39">
        <v>0.2</v>
      </c>
      <c r="L39">
        <v>350</v>
      </c>
      <c r="M39">
        <v>250</v>
      </c>
      <c r="N39" t="s">
        <v>26</v>
      </c>
      <c r="O39" t="s">
        <v>19</v>
      </c>
      <c r="P39">
        <f>Table1[[#This Row],[Units]]*Table1[[#This Row],[UnitPrice]]</f>
        <v>7996</v>
      </c>
      <c r="Q39">
        <f>Table1[[#This Row],[Gross Revenue]]*Table1[[#This Row],[DiscountPct]]</f>
        <v>1599.2</v>
      </c>
      <c r="R39">
        <f>Table1[[#This Row],[Gross Revenue]]-Table1[[#This Row],[Discount Amount]]</f>
        <v>6396.8</v>
      </c>
      <c r="S39" s="2">
        <f>Table1[[#This Row],[Units]]*Table1[[#This Row],[COGS_per_unit]]</f>
        <v>1000</v>
      </c>
      <c r="T39" s="2">
        <f>Table1[[#This Row],[Net_Revenue]]-Table1[[#This Row],[MarketingCost]]</f>
        <v>6046.8</v>
      </c>
    </row>
    <row r="40" spans="1:20" x14ac:dyDescent="0.3">
      <c r="A40">
        <v>1039</v>
      </c>
      <c r="B40" s="1">
        <v>45696</v>
      </c>
      <c r="C40">
        <v>5037</v>
      </c>
      <c r="D40" t="s">
        <v>37</v>
      </c>
      <c r="E40">
        <v>21</v>
      </c>
      <c r="F40" t="s">
        <v>27</v>
      </c>
      <c r="G40" t="s">
        <v>21</v>
      </c>
      <c r="H40" t="s">
        <v>31</v>
      </c>
      <c r="I40">
        <v>5</v>
      </c>
      <c r="J40">
        <v>1499</v>
      </c>
      <c r="K40">
        <v>0.1</v>
      </c>
      <c r="L40">
        <v>350</v>
      </c>
      <c r="M40">
        <v>600</v>
      </c>
      <c r="N40" t="s">
        <v>22</v>
      </c>
      <c r="O40" t="s">
        <v>29</v>
      </c>
      <c r="P40">
        <f>Table1[[#This Row],[Units]]*Table1[[#This Row],[UnitPrice]]</f>
        <v>7495</v>
      </c>
      <c r="Q40">
        <f>Table1[[#This Row],[Gross Revenue]]*Table1[[#This Row],[DiscountPct]]</f>
        <v>749.5</v>
      </c>
      <c r="R40">
        <f>Table1[[#This Row],[Gross Revenue]]-Table1[[#This Row],[Discount Amount]]</f>
        <v>6745.5</v>
      </c>
      <c r="S40" s="2">
        <f>Table1[[#This Row],[Units]]*Table1[[#This Row],[COGS_per_unit]]</f>
        <v>3000</v>
      </c>
      <c r="T40" s="2">
        <f>Table1[[#This Row],[Net_Revenue]]-Table1[[#This Row],[MarketingCost]]</f>
        <v>6395.5</v>
      </c>
    </row>
    <row r="41" spans="1:20" x14ac:dyDescent="0.3">
      <c r="A41">
        <v>1040</v>
      </c>
      <c r="B41" s="1">
        <v>45697</v>
      </c>
      <c r="C41">
        <v>5007</v>
      </c>
      <c r="D41" t="s">
        <v>14</v>
      </c>
      <c r="E41">
        <v>21</v>
      </c>
      <c r="F41" t="s">
        <v>38</v>
      </c>
      <c r="G41" t="s">
        <v>35</v>
      </c>
      <c r="H41" t="s">
        <v>17</v>
      </c>
      <c r="I41">
        <v>2</v>
      </c>
      <c r="J41">
        <v>799</v>
      </c>
      <c r="K41">
        <v>0</v>
      </c>
      <c r="L41">
        <v>1000</v>
      </c>
      <c r="M41">
        <v>600</v>
      </c>
      <c r="N41" t="s">
        <v>26</v>
      </c>
      <c r="O41" t="s">
        <v>19</v>
      </c>
      <c r="P41">
        <f>Table1[[#This Row],[Units]]*Table1[[#This Row],[UnitPrice]]</f>
        <v>1598</v>
      </c>
      <c r="Q41">
        <f>Table1[[#This Row],[Gross Revenue]]*Table1[[#This Row],[DiscountPct]]</f>
        <v>0</v>
      </c>
      <c r="R41">
        <f>Table1[[#This Row],[Gross Revenue]]-Table1[[#This Row],[Discount Amount]]</f>
        <v>1598</v>
      </c>
      <c r="S41" s="2">
        <f>Table1[[#This Row],[Units]]*Table1[[#This Row],[COGS_per_unit]]</f>
        <v>1200</v>
      </c>
      <c r="T41" s="2">
        <f>Table1[[#This Row],[Net_Revenue]]-Table1[[#This Row],[MarketingCost]]</f>
        <v>598</v>
      </c>
    </row>
    <row r="42" spans="1:20" x14ac:dyDescent="0.3">
      <c r="A42">
        <v>1041</v>
      </c>
      <c r="B42" s="1">
        <v>45698</v>
      </c>
      <c r="C42">
        <v>5021</v>
      </c>
      <c r="D42" t="s">
        <v>33</v>
      </c>
      <c r="E42">
        <v>27</v>
      </c>
      <c r="F42" t="s">
        <v>34</v>
      </c>
      <c r="G42" t="s">
        <v>16</v>
      </c>
      <c r="H42" t="s">
        <v>28</v>
      </c>
      <c r="I42">
        <v>4</v>
      </c>
      <c r="J42">
        <v>499</v>
      </c>
      <c r="K42">
        <v>0</v>
      </c>
      <c r="L42">
        <v>500</v>
      </c>
      <c r="M42">
        <v>600</v>
      </c>
      <c r="N42" t="s">
        <v>26</v>
      </c>
      <c r="O42" t="s">
        <v>29</v>
      </c>
      <c r="P42">
        <f>Table1[[#This Row],[Units]]*Table1[[#This Row],[UnitPrice]]</f>
        <v>1996</v>
      </c>
      <c r="Q42">
        <f>Table1[[#This Row],[Gross Revenue]]*Table1[[#This Row],[DiscountPct]]</f>
        <v>0</v>
      </c>
      <c r="R42">
        <f>Table1[[#This Row],[Gross Revenue]]-Table1[[#This Row],[Discount Amount]]</f>
        <v>1996</v>
      </c>
      <c r="S42" s="2">
        <f>Table1[[#This Row],[Units]]*Table1[[#This Row],[COGS_per_unit]]</f>
        <v>2400</v>
      </c>
      <c r="T42" s="2">
        <f>Table1[[#This Row],[Net_Revenue]]-Table1[[#This Row],[MarketingCost]]</f>
        <v>1496</v>
      </c>
    </row>
    <row r="43" spans="1:20" x14ac:dyDescent="0.3">
      <c r="A43">
        <v>1042</v>
      </c>
      <c r="B43" s="1">
        <v>45699</v>
      </c>
      <c r="C43">
        <v>5009</v>
      </c>
      <c r="D43" t="s">
        <v>20</v>
      </c>
      <c r="E43">
        <v>27</v>
      </c>
      <c r="F43" t="s">
        <v>30</v>
      </c>
      <c r="G43" t="s">
        <v>16</v>
      </c>
      <c r="H43" t="s">
        <v>36</v>
      </c>
      <c r="I43">
        <v>2</v>
      </c>
      <c r="J43">
        <v>1499</v>
      </c>
      <c r="K43">
        <v>0.2</v>
      </c>
      <c r="L43">
        <v>1000</v>
      </c>
      <c r="M43">
        <v>150</v>
      </c>
      <c r="N43" t="s">
        <v>22</v>
      </c>
      <c r="O43" t="s">
        <v>29</v>
      </c>
      <c r="P43">
        <f>Table1[[#This Row],[Units]]*Table1[[#This Row],[UnitPrice]]</f>
        <v>2998</v>
      </c>
      <c r="Q43">
        <f>Table1[[#This Row],[Gross Revenue]]*Table1[[#This Row],[DiscountPct]]</f>
        <v>599.6</v>
      </c>
      <c r="R43">
        <f>Table1[[#This Row],[Gross Revenue]]-Table1[[#This Row],[Discount Amount]]</f>
        <v>2398.4</v>
      </c>
      <c r="S43" s="2">
        <f>Table1[[#This Row],[Units]]*Table1[[#This Row],[COGS_per_unit]]</f>
        <v>300</v>
      </c>
      <c r="T43" s="2">
        <f>Table1[[#This Row],[Net_Revenue]]-Table1[[#This Row],[MarketingCost]]</f>
        <v>1398.4</v>
      </c>
    </row>
    <row r="44" spans="1:20" x14ac:dyDescent="0.3">
      <c r="A44">
        <v>1043</v>
      </c>
      <c r="B44" s="1">
        <v>45700</v>
      </c>
      <c r="C44">
        <v>5039</v>
      </c>
      <c r="D44" t="s">
        <v>20</v>
      </c>
      <c r="E44">
        <v>19</v>
      </c>
      <c r="F44" t="s">
        <v>38</v>
      </c>
      <c r="G44" t="s">
        <v>21</v>
      </c>
      <c r="H44" t="s">
        <v>17</v>
      </c>
      <c r="I44">
        <v>3</v>
      </c>
      <c r="J44">
        <v>999</v>
      </c>
      <c r="K44">
        <v>0.2</v>
      </c>
      <c r="L44">
        <v>500</v>
      </c>
      <c r="M44">
        <v>400</v>
      </c>
      <c r="N44" t="s">
        <v>26</v>
      </c>
      <c r="O44" t="s">
        <v>32</v>
      </c>
      <c r="P44">
        <f>Table1[[#This Row],[Units]]*Table1[[#This Row],[UnitPrice]]</f>
        <v>2997</v>
      </c>
      <c r="Q44">
        <f>Table1[[#This Row],[Gross Revenue]]*Table1[[#This Row],[DiscountPct]]</f>
        <v>599.4</v>
      </c>
      <c r="R44">
        <f>Table1[[#This Row],[Gross Revenue]]-Table1[[#This Row],[Discount Amount]]</f>
        <v>2397.6</v>
      </c>
      <c r="S44" s="2">
        <f>Table1[[#This Row],[Units]]*Table1[[#This Row],[COGS_per_unit]]</f>
        <v>1200</v>
      </c>
      <c r="T44" s="2">
        <f>Table1[[#This Row],[Net_Revenue]]-Table1[[#This Row],[MarketingCost]]</f>
        <v>1897.6</v>
      </c>
    </row>
    <row r="45" spans="1:20" x14ac:dyDescent="0.3">
      <c r="A45">
        <v>1044</v>
      </c>
      <c r="B45" s="1">
        <v>45701</v>
      </c>
      <c r="C45">
        <v>5018</v>
      </c>
      <c r="D45" t="s">
        <v>37</v>
      </c>
      <c r="E45">
        <v>27</v>
      </c>
      <c r="F45" t="s">
        <v>30</v>
      </c>
      <c r="G45" t="s">
        <v>35</v>
      </c>
      <c r="H45" t="s">
        <v>36</v>
      </c>
      <c r="I45">
        <v>1</v>
      </c>
      <c r="J45">
        <v>1499</v>
      </c>
      <c r="K45">
        <v>0.15</v>
      </c>
      <c r="L45">
        <v>500</v>
      </c>
      <c r="M45">
        <v>150</v>
      </c>
      <c r="N45" t="s">
        <v>18</v>
      </c>
      <c r="O45" t="s">
        <v>14</v>
      </c>
      <c r="P45">
        <f>Table1[[#This Row],[Units]]*Table1[[#This Row],[UnitPrice]]</f>
        <v>1499</v>
      </c>
      <c r="Q45">
        <f>Table1[[#This Row],[Gross Revenue]]*Table1[[#This Row],[DiscountPct]]</f>
        <v>224.85</v>
      </c>
      <c r="R45">
        <f>Table1[[#This Row],[Gross Revenue]]-Table1[[#This Row],[Discount Amount]]</f>
        <v>1274.1500000000001</v>
      </c>
      <c r="S45" s="2">
        <f>Table1[[#This Row],[Units]]*Table1[[#This Row],[COGS_per_unit]]</f>
        <v>150</v>
      </c>
      <c r="T45" s="2">
        <f>Table1[[#This Row],[Net_Revenue]]-Table1[[#This Row],[MarketingCost]]</f>
        <v>774.15000000000009</v>
      </c>
    </row>
    <row r="46" spans="1:20" x14ac:dyDescent="0.3">
      <c r="A46">
        <v>1045</v>
      </c>
      <c r="B46" s="1">
        <v>45702</v>
      </c>
      <c r="C46">
        <v>5004</v>
      </c>
      <c r="D46" t="s">
        <v>23</v>
      </c>
      <c r="E46">
        <v>29</v>
      </c>
      <c r="F46" t="s">
        <v>27</v>
      </c>
      <c r="G46" t="s">
        <v>21</v>
      </c>
      <c r="H46" t="s">
        <v>36</v>
      </c>
      <c r="I46">
        <v>3</v>
      </c>
      <c r="J46">
        <v>1499</v>
      </c>
      <c r="K46">
        <v>0</v>
      </c>
      <c r="L46">
        <v>350</v>
      </c>
      <c r="M46">
        <v>250</v>
      </c>
      <c r="N46" t="s">
        <v>26</v>
      </c>
      <c r="O46" t="s">
        <v>19</v>
      </c>
      <c r="P46">
        <f>Table1[[#This Row],[Units]]*Table1[[#This Row],[UnitPrice]]</f>
        <v>4497</v>
      </c>
      <c r="Q46">
        <f>Table1[[#This Row],[Gross Revenue]]*Table1[[#This Row],[DiscountPct]]</f>
        <v>0</v>
      </c>
      <c r="R46">
        <f>Table1[[#This Row],[Gross Revenue]]-Table1[[#This Row],[Discount Amount]]</f>
        <v>4497</v>
      </c>
      <c r="S46" s="2">
        <f>Table1[[#This Row],[Units]]*Table1[[#This Row],[COGS_per_unit]]</f>
        <v>750</v>
      </c>
      <c r="T46" s="2">
        <f>Table1[[#This Row],[Net_Revenue]]-Table1[[#This Row],[MarketingCost]]</f>
        <v>4147</v>
      </c>
    </row>
    <row r="47" spans="1:20" x14ac:dyDescent="0.3">
      <c r="A47">
        <v>1046</v>
      </c>
      <c r="B47" s="1">
        <v>45703</v>
      </c>
      <c r="C47">
        <v>5025</v>
      </c>
      <c r="D47" t="s">
        <v>37</v>
      </c>
      <c r="E47">
        <v>25</v>
      </c>
      <c r="F47" t="s">
        <v>27</v>
      </c>
      <c r="G47" t="s">
        <v>35</v>
      </c>
      <c r="H47" t="s">
        <v>28</v>
      </c>
      <c r="I47">
        <v>4</v>
      </c>
      <c r="J47">
        <v>799</v>
      </c>
      <c r="K47">
        <v>0.15</v>
      </c>
      <c r="L47">
        <v>750</v>
      </c>
      <c r="M47">
        <v>150</v>
      </c>
      <c r="N47" t="s">
        <v>26</v>
      </c>
      <c r="O47" t="s">
        <v>32</v>
      </c>
      <c r="P47">
        <f>Table1[[#This Row],[Units]]*Table1[[#This Row],[UnitPrice]]</f>
        <v>3196</v>
      </c>
      <c r="Q47">
        <f>Table1[[#This Row],[Gross Revenue]]*Table1[[#This Row],[DiscountPct]]</f>
        <v>479.4</v>
      </c>
      <c r="R47">
        <f>Table1[[#This Row],[Gross Revenue]]-Table1[[#This Row],[Discount Amount]]</f>
        <v>2716.6</v>
      </c>
      <c r="S47" s="2">
        <f>Table1[[#This Row],[Units]]*Table1[[#This Row],[COGS_per_unit]]</f>
        <v>600</v>
      </c>
      <c r="T47" s="2">
        <f>Table1[[#This Row],[Net_Revenue]]-Table1[[#This Row],[MarketingCost]]</f>
        <v>1966.6</v>
      </c>
    </row>
    <row r="48" spans="1:20" x14ac:dyDescent="0.3">
      <c r="A48">
        <v>1047</v>
      </c>
      <c r="B48" s="1">
        <v>45704</v>
      </c>
      <c r="C48">
        <v>5014</v>
      </c>
      <c r="D48" t="s">
        <v>23</v>
      </c>
      <c r="E48">
        <v>25</v>
      </c>
      <c r="F48" t="s">
        <v>15</v>
      </c>
      <c r="G48" t="s">
        <v>39</v>
      </c>
      <c r="H48" t="s">
        <v>36</v>
      </c>
      <c r="I48">
        <v>2</v>
      </c>
      <c r="J48">
        <v>999</v>
      </c>
      <c r="K48">
        <v>0.2</v>
      </c>
      <c r="L48">
        <v>200</v>
      </c>
      <c r="M48">
        <v>400</v>
      </c>
      <c r="N48" t="s">
        <v>26</v>
      </c>
      <c r="O48" t="s">
        <v>32</v>
      </c>
      <c r="P48">
        <f>Table1[[#This Row],[Units]]*Table1[[#This Row],[UnitPrice]]</f>
        <v>1998</v>
      </c>
      <c r="Q48">
        <f>Table1[[#This Row],[Gross Revenue]]*Table1[[#This Row],[DiscountPct]]</f>
        <v>399.6</v>
      </c>
      <c r="R48">
        <f>Table1[[#This Row],[Gross Revenue]]-Table1[[#This Row],[Discount Amount]]</f>
        <v>1598.4</v>
      </c>
      <c r="S48" s="2">
        <f>Table1[[#This Row],[Units]]*Table1[[#This Row],[COGS_per_unit]]</f>
        <v>800</v>
      </c>
      <c r="T48" s="2">
        <f>Table1[[#This Row],[Net_Revenue]]-Table1[[#This Row],[MarketingCost]]</f>
        <v>1398.4</v>
      </c>
    </row>
    <row r="49" spans="1:20" x14ac:dyDescent="0.3">
      <c r="A49">
        <v>1048</v>
      </c>
      <c r="B49" s="1">
        <v>45705</v>
      </c>
      <c r="C49">
        <v>5009</v>
      </c>
      <c r="D49" t="s">
        <v>20</v>
      </c>
      <c r="E49">
        <v>25</v>
      </c>
      <c r="F49" t="s">
        <v>34</v>
      </c>
      <c r="G49" t="s">
        <v>24</v>
      </c>
      <c r="H49" t="s">
        <v>36</v>
      </c>
      <c r="I49">
        <v>2</v>
      </c>
      <c r="J49">
        <v>1499</v>
      </c>
      <c r="K49">
        <v>0.2</v>
      </c>
      <c r="L49">
        <v>350</v>
      </c>
      <c r="M49">
        <v>150</v>
      </c>
      <c r="N49" t="s">
        <v>18</v>
      </c>
      <c r="O49" t="s">
        <v>32</v>
      </c>
      <c r="P49">
        <f>Table1[[#This Row],[Units]]*Table1[[#This Row],[UnitPrice]]</f>
        <v>2998</v>
      </c>
      <c r="Q49">
        <f>Table1[[#This Row],[Gross Revenue]]*Table1[[#This Row],[DiscountPct]]</f>
        <v>599.6</v>
      </c>
      <c r="R49">
        <f>Table1[[#This Row],[Gross Revenue]]-Table1[[#This Row],[Discount Amount]]</f>
        <v>2398.4</v>
      </c>
      <c r="S49" s="2">
        <f>Table1[[#This Row],[Units]]*Table1[[#This Row],[COGS_per_unit]]</f>
        <v>300</v>
      </c>
      <c r="T49" s="2">
        <f>Table1[[#This Row],[Net_Revenue]]-Table1[[#This Row],[MarketingCost]]</f>
        <v>2048.4</v>
      </c>
    </row>
    <row r="50" spans="1:20" x14ac:dyDescent="0.3">
      <c r="A50">
        <v>1049</v>
      </c>
      <c r="B50" s="1">
        <v>45706</v>
      </c>
      <c r="C50">
        <v>5026</v>
      </c>
      <c r="D50" t="s">
        <v>37</v>
      </c>
      <c r="E50">
        <v>25</v>
      </c>
      <c r="F50" t="s">
        <v>30</v>
      </c>
      <c r="G50" t="s">
        <v>24</v>
      </c>
      <c r="H50" t="s">
        <v>28</v>
      </c>
      <c r="I50">
        <v>5</v>
      </c>
      <c r="J50">
        <v>499</v>
      </c>
      <c r="K50">
        <v>0.1</v>
      </c>
      <c r="L50">
        <v>350</v>
      </c>
      <c r="M50">
        <v>600</v>
      </c>
      <c r="N50" t="s">
        <v>26</v>
      </c>
      <c r="O50" t="s">
        <v>32</v>
      </c>
      <c r="P50">
        <f>Table1[[#This Row],[Units]]*Table1[[#This Row],[UnitPrice]]</f>
        <v>2495</v>
      </c>
      <c r="Q50">
        <f>Table1[[#This Row],[Gross Revenue]]*Table1[[#This Row],[DiscountPct]]</f>
        <v>249.5</v>
      </c>
      <c r="R50">
        <f>Table1[[#This Row],[Gross Revenue]]-Table1[[#This Row],[Discount Amount]]</f>
        <v>2245.5</v>
      </c>
      <c r="S50" s="2">
        <f>Table1[[#This Row],[Units]]*Table1[[#This Row],[COGS_per_unit]]</f>
        <v>3000</v>
      </c>
      <c r="T50" s="2">
        <f>Table1[[#This Row],[Net_Revenue]]-Table1[[#This Row],[MarketingCost]]</f>
        <v>1895.5</v>
      </c>
    </row>
    <row r="51" spans="1:20" x14ac:dyDescent="0.3">
      <c r="A51">
        <v>1050</v>
      </c>
      <c r="B51" s="1">
        <v>45707</v>
      </c>
      <c r="C51">
        <v>5002</v>
      </c>
      <c r="D51" t="s">
        <v>33</v>
      </c>
      <c r="E51">
        <v>25</v>
      </c>
      <c r="F51" t="s">
        <v>38</v>
      </c>
      <c r="G51" t="s">
        <v>24</v>
      </c>
      <c r="H51" t="s">
        <v>36</v>
      </c>
      <c r="I51">
        <v>2</v>
      </c>
      <c r="J51">
        <v>499</v>
      </c>
      <c r="K51">
        <v>0</v>
      </c>
      <c r="L51">
        <v>750</v>
      </c>
      <c r="M51">
        <v>250</v>
      </c>
      <c r="N51" t="s">
        <v>22</v>
      </c>
      <c r="O51" t="s">
        <v>19</v>
      </c>
      <c r="P51">
        <f>Table1[[#This Row],[Units]]*Table1[[#This Row],[UnitPrice]]</f>
        <v>998</v>
      </c>
      <c r="Q51">
        <f>Table1[[#This Row],[Gross Revenue]]*Table1[[#This Row],[DiscountPct]]</f>
        <v>0</v>
      </c>
      <c r="R51">
        <f>Table1[[#This Row],[Gross Revenue]]-Table1[[#This Row],[Discount Amount]]</f>
        <v>998</v>
      </c>
      <c r="S51" s="2">
        <f>Table1[[#This Row],[Units]]*Table1[[#This Row],[COGS_per_unit]]</f>
        <v>500</v>
      </c>
      <c r="T51" s="2">
        <f>Table1[[#This Row],[Net_Revenue]]-Table1[[#This Row],[MarketingCost]]</f>
        <v>248</v>
      </c>
    </row>
    <row r="52" spans="1:20" x14ac:dyDescent="0.3">
      <c r="A52">
        <v>1051</v>
      </c>
      <c r="B52" s="1">
        <v>45708</v>
      </c>
      <c r="C52">
        <v>5020</v>
      </c>
      <c r="D52" t="s">
        <v>40</v>
      </c>
      <c r="E52">
        <v>29</v>
      </c>
      <c r="F52" t="s">
        <v>27</v>
      </c>
      <c r="G52" t="s">
        <v>21</v>
      </c>
      <c r="H52" t="s">
        <v>36</v>
      </c>
      <c r="I52">
        <v>5</v>
      </c>
      <c r="J52">
        <v>1999</v>
      </c>
      <c r="K52">
        <v>0.15</v>
      </c>
      <c r="L52">
        <v>200</v>
      </c>
      <c r="M52">
        <v>150</v>
      </c>
      <c r="N52" t="s">
        <v>26</v>
      </c>
      <c r="O52" t="s">
        <v>19</v>
      </c>
      <c r="P52">
        <f>Table1[[#This Row],[Units]]*Table1[[#This Row],[UnitPrice]]</f>
        <v>9995</v>
      </c>
      <c r="Q52">
        <f>Table1[[#This Row],[Gross Revenue]]*Table1[[#This Row],[DiscountPct]]</f>
        <v>1499.25</v>
      </c>
      <c r="R52">
        <f>Table1[[#This Row],[Gross Revenue]]-Table1[[#This Row],[Discount Amount]]</f>
        <v>8495.75</v>
      </c>
      <c r="S52" s="2">
        <f>Table1[[#This Row],[Units]]*Table1[[#This Row],[COGS_per_unit]]</f>
        <v>750</v>
      </c>
      <c r="T52" s="2">
        <f>Table1[[#This Row],[Net_Revenue]]-Table1[[#This Row],[MarketingCost]]</f>
        <v>8295.75</v>
      </c>
    </row>
    <row r="53" spans="1:20" x14ac:dyDescent="0.3">
      <c r="A53">
        <v>1052</v>
      </c>
      <c r="B53" s="1">
        <v>45709</v>
      </c>
      <c r="C53">
        <v>5028</v>
      </c>
      <c r="D53" t="s">
        <v>23</v>
      </c>
      <c r="E53">
        <v>29</v>
      </c>
      <c r="F53" t="s">
        <v>15</v>
      </c>
      <c r="G53" t="s">
        <v>39</v>
      </c>
      <c r="H53" t="s">
        <v>36</v>
      </c>
      <c r="I53">
        <v>1</v>
      </c>
      <c r="J53">
        <v>999</v>
      </c>
      <c r="K53">
        <v>0</v>
      </c>
      <c r="L53">
        <v>500</v>
      </c>
      <c r="M53">
        <v>400</v>
      </c>
      <c r="N53" t="s">
        <v>18</v>
      </c>
      <c r="O53" t="s">
        <v>29</v>
      </c>
      <c r="P53">
        <f>Table1[[#This Row],[Units]]*Table1[[#This Row],[UnitPrice]]</f>
        <v>999</v>
      </c>
      <c r="Q53">
        <f>Table1[[#This Row],[Gross Revenue]]*Table1[[#This Row],[DiscountPct]]</f>
        <v>0</v>
      </c>
      <c r="R53">
        <f>Table1[[#This Row],[Gross Revenue]]-Table1[[#This Row],[Discount Amount]]</f>
        <v>999</v>
      </c>
      <c r="S53" s="2">
        <f>Table1[[#This Row],[Units]]*Table1[[#This Row],[COGS_per_unit]]</f>
        <v>400</v>
      </c>
      <c r="T53" s="2">
        <f>Table1[[#This Row],[Net_Revenue]]-Table1[[#This Row],[MarketingCost]]</f>
        <v>499</v>
      </c>
    </row>
    <row r="54" spans="1:20" x14ac:dyDescent="0.3">
      <c r="A54">
        <v>1053</v>
      </c>
      <c r="B54" s="1">
        <v>45710</v>
      </c>
      <c r="C54">
        <v>5047</v>
      </c>
      <c r="D54" t="s">
        <v>14</v>
      </c>
      <c r="E54">
        <v>23</v>
      </c>
      <c r="F54" t="s">
        <v>15</v>
      </c>
      <c r="G54" t="s">
        <v>35</v>
      </c>
      <c r="H54" t="s">
        <v>17</v>
      </c>
      <c r="I54">
        <v>4</v>
      </c>
      <c r="J54">
        <v>999</v>
      </c>
      <c r="K54">
        <v>0.2</v>
      </c>
      <c r="L54">
        <v>1000</v>
      </c>
      <c r="M54">
        <v>600</v>
      </c>
      <c r="N54" t="s">
        <v>26</v>
      </c>
      <c r="O54" t="s">
        <v>29</v>
      </c>
      <c r="P54">
        <f>Table1[[#This Row],[Units]]*Table1[[#This Row],[UnitPrice]]</f>
        <v>3996</v>
      </c>
      <c r="Q54">
        <f>Table1[[#This Row],[Gross Revenue]]*Table1[[#This Row],[DiscountPct]]</f>
        <v>799.2</v>
      </c>
      <c r="R54">
        <f>Table1[[#This Row],[Gross Revenue]]-Table1[[#This Row],[Discount Amount]]</f>
        <v>3196.8</v>
      </c>
      <c r="S54" s="2">
        <f>Table1[[#This Row],[Units]]*Table1[[#This Row],[COGS_per_unit]]</f>
        <v>2400</v>
      </c>
      <c r="T54" s="2">
        <f>Table1[[#This Row],[Net_Revenue]]-Table1[[#This Row],[MarketingCost]]</f>
        <v>2196.8000000000002</v>
      </c>
    </row>
    <row r="55" spans="1:20" x14ac:dyDescent="0.3">
      <c r="A55">
        <v>1054</v>
      </c>
      <c r="B55" s="1">
        <v>45711</v>
      </c>
      <c r="C55">
        <v>5007</v>
      </c>
      <c r="D55" t="s">
        <v>40</v>
      </c>
      <c r="E55">
        <v>33</v>
      </c>
      <c r="F55" t="s">
        <v>30</v>
      </c>
      <c r="G55" t="s">
        <v>16</v>
      </c>
      <c r="H55" t="s">
        <v>17</v>
      </c>
      <c r="I55">
        <v>5</v>
      </c>
      <c r="J55">
        <v>1999</v>
      </c>
      <c r="K55">
        <v>0.15</v>
      </c>
      <c r="L55">
        <v>350</v>
      </c>
      <c r="M55">
        <v>150</v>
      </c>
      <c r="N55" t="s">
        <v>18</v>
      </c>
      <c r="O55" t="s">
        <v>32</v>
      </c>
      <c r="P55">
        <f>Table1[[#This Row],[Units]]*Table1[[#This Row],[UnitPrice]]</f>
        <v>9995</v>
      </c>
      <c r="Q55">
        <f>Table1[[#This Row],[Gross Revenue]]*Table1[[#This Row],[DiscountPct]]</f>
        <v>1499.25</v>
      </c>
      <c r="R55">
        <f>Table1[[#This Row],[Gross Revenue]]-Table1[[#This Row],[Discount Amount]]</f>
        <v>8495.75</v>
      </c>
      <c r="S55" s="2">
        <f>Table1[[#This Row],[Units]]*Table1[[#This Row],[COGS_per_unit]]</f>
        <v>750</v>
      </c>
      <c r="T55" s="2">
        <f>Table1[[#This Row],[Net_Revenue]]-Table1[[#This Row],[MarketingCost]]</f>
        <v>8145.75</v>
      </c>
    </row>
    <row r="56" spans="1:20" x14ac:dyDescent="0.3">
      <c r="A56">
        <v>1055</v>
      </c>
      <c r="B56" s="1">
        <v>45712</v>
      </c>
      <c r="C56">
        <v>5044</v>
      </c>
      <c r="D56" t="s">
        <v>37</v>
      </c>
      <c r="E56">
        <v>27</v>
      </c>
      <c r="F56" t="s">
        <v>27</v>
      </c>
      <c r="G56" t="s">
        <v>35</v>
      </c>
      <c r="H56" t="s">
        <v>17</v>
      </c>
      <c r="I56">
        <v>1</v>
      </c>
      <c r="J56">
        <v>1499</v>
      </c>
      <c r="K56">
        <v>0.1</v>
      </c>
      <c r="L56">
        <v>200</v>
      </c>
      <c r="M56">
        <v>150</v>
      </c>
      <c r="N56" t="s">
        <v>26</v>
      </c>
      <c r="O56" t="s">
        <v>32</v>
      </c>
      <c r="P56">
        <f>Table1[[#This Row],[Units]]*Table1[[#This Row],[UnitPrice]]</f>
        <v>1499</v>
      </c>
      <c r="Q56">
        <f>Table1[[#This Row],[Gross Revenue]]*Table1[[#This Row],[DiscountPct]]</f>
        <v>149.9</v>
      </c>
      <c r="R56">
        <f>Table1[[#This Row],[Gross Revenue]]-Table1[[#This Row],[Discount Amount]]</f>
        <v>1349.1</v>
      </c>
      <c r="S56" s="2">
        <f>Table1[[#This Row],[Units]]*Table1[[#This Row],[COGS_per_unit]]</f>
        <v>150</v>
      </c>
      <c r="T56" s="2">
        <f>Table1[[#This Row],[Net_Revenue]]-Table1[[#This Row],[MarketingCost]]</f>
        <v>1149.0999999999999</v>
      </c>
    </row>
    <row r="57" spans="1:20" x14ac:dyDescent="0.3">
      <c r="A57">
        <v>1056</v>
      </c>
      <c r="B57" s="1">
        <v>45713</v>
      </c>
      <c r="C57">
        <v>5008</v>
      </c>
      <c r="D57" t="s">
        <v>40</v>
      </c>
      <c r="E57">
        <v>31</v>
      </c>
      <c r="F57" t="s">
        <v>34</v>
      </c>
      <c r="G57" t="s">
        <v>16</v>
      </c>
      <c r="H57" t="s">
        <v>28</v>
      </c>
      <c r="I57">
        <v>2</v>
      </c>
      <c r="J57">
        <v>999</v>
      </c>
      <c r="K57">
        <v>0.2</v>
      </c>
      <c r="L57">
        <v>350</v>
      </c>
      <c r="M57">
        <v>250</v>
      </c>
      <c r="N57" t="s">
        <v>26</v>
      </c>
      <c r="O57" t="s">
        <v>32</v>
      </c>
      <c r="P57">
        <f>Table1[[#This Row],[Units]]*Table1[[#This Row],[UnitPrice]]</f>
        <v>1998</v>
      </c>
      <c r="Q57">
        <f>Table1[[#This Row],[Gross Revenue]]*Table1[[#This Row],[DiscountPct]]</f>
        <v>399.6</v>
      </c>
      <c r="R57">
        <f>Table1[[#This Row],[Gross Revenue]]-Table1[[#This Row],[Discount Amount]]</f>
        <v>1598.4</v>
      </c>
      <c r="S57" s="2">
        <f>Table1[[#This Row],[Units]]*Table1[[#This Row],[COGS_per_unit]]</f>
        <v>500</v>
      </c>
      <c r="T57" s="2">
        <f>Table1[[#This Row],[Net_Revenue]]-Table1[[#This Row],[MarketingCost]]</f>
        <v>1248.4000000000001</v>
      </c>
    </row>
    <row r="58" spans="1:20" x14ac:dyDescent="0.3">
      <c r="A58">
        <v>1057</v>
      </c>
      <c r="B58" s="1">
        <v>45714</v>
      </c>
      <c r="C58">
        <v>5047</v>
      </c>
      <c r="D58" t="s">
        <v>33</v>
      </c>
      <c r="E58">
        <v>25</v>
      </c>
      <c r="F58" t="s">
        <v>27</v>
      </c>
      <c r="G58" t="s">
        <v>35</v>
      </c>
      <c r="H58" t="s">
        <v>31</v>
      </c>
      <c r="I58">
        <v>2</v>
      </c>
      <c r="J58">
        <v>499</v>
      </c>
      <c r="K58">
        <v>0</v>
      </c>
      <c r="L58">
        <v>500</v>
      </c>
      <c r="M58">
        <v>150</v>
      </c>
      <c r="N58" t="s">
        <v>26</v>
      </c>
      <c r="O58" t="s">
        <v>29</v>
      </c>
      <c r="P58">
        <f>Table1[[#This Row],[Units]]*Table1[[#This Row],[UnitPrice]]</f>
        <v>998</v>
      </c>
      <c r="Q58">
        <f>Table1[[#This Row],[Gross Revenue]]*Table1[[#This Row],[DiscountPct]]</f>
        <v>0</v>
      </c>
      <c r="R58">
        <f>Table1[[#This Row],[Gross Revenue]]-Table1[[#This Row],[Discount Amount]]</f>
        <v>998</v>
      </c>
      <c r="S58" s="2">
        <f>Table1[[#This Row],[Units]]*Table1[[#This Row],[COGS_per_unit]]</f>
        <v>300</v>
      </c>
      <c r="T58" s="2">
        <f>Table1[[#This Row],[Net_Revenue]]-Table1[[#This Row],[MarketingCost]]</f>
        <v>498</v>
      </c>
    </row>
    <row r="59" spans="1:20" x14ac:dyDescent="0.3">
      <c r="A59">
        <v>1058</v>
      </c>
      <c r="B59" s="1">
        <v>45715</v>
      </c>
      <c r="C59">
        <v>5035</v>
      </c>
      <c r="D59" t="s">
        <v>40</v>
      </c>
      <c r="E59">
        <v>19</v>
      </c>
      <c r="F59" t="s">
        <v>30</v>
      </c>
      <c r="G59" t="s">
        <v>39</v>
      </c>
      <c r="H59" t="s">
        <v>36</v>
      </c>
      <c r="I59">
        <v>1</v>
      </c>
      <c r="J59">
        <v>499</v>
      </c>
      <c r="K59">
        <v>0.2</v>
      </c>
      <c r="L59">
        <v>350</v>
      </c>
      <c r="M59">
        <v>250</v>
      </c>
      <c r="N59" t="s">
        <v>26</v>
      </c>
      <c r="O59" t="s">
        <v>29</v>
      </c>
      <c r="P59">
        <f>Table1[[#This Row],[Units]]*Table1[[#This Row],[UnitPrice]]</f>
        <v>499</v>
      </c>
      <c r="Q59">
        <f>Table1[[#This Row],[Gross Revenue]]*Table1[[#This Row],[DiscountPct]]</f>
        <v>99.800000000000011</v>
      </c>
      <c r="R59">
        <f>Table1[[#This Row],[Gross Revenue]]-Table1[[#This Row],[Discount Amount]]</f>
        <v>399.2</v>
      </c>
      <c r="S59" s="2">
        <f>Table1[[#This Row],[Units]]*Table1[[#This Row],[COGS_per_unit]]</f>
        <v>250</v>
      </c>
      <c r="T59" s="2">
        <f>Table1[[#This Row],[Net_Revenue]]-Table1[[#This Row],[MarketingCost]]</f>
        <v>49.199999999999989</v>
      </c>
    </row>
    <row r="60" spans="1:20" x14ac:dyDescent="0.3">
      <c r="A60">
        <v>1059</v>
      </c>
      <c r="B60" s="1">
        <v>45716</v>
      </c>
      <c r="C60">
        <v>5014</v>
      </c>
      <c r="D60" t="s">
        <v>37</v>
      </c>
      <c r="E60">
        <v>31</v>
      </c>
      <c r="F60" t="s">
        <v>30</v>
      </c>
      <c r="G60" t="s">
        <v>16</v>
      </c>
      <c r="H60" t="s">
        <v>36</v>
      </c>
      <c r="I60">
        <v>2</v>
      </c>
      <c r="J60">
        <v>799</v>
      </c>
      <c r="K60">
        <v>0</v>
      </c>
      <c r="L60">
        <v>350</v>
      </c>
      <c r="M60">
        <v>150</v>
      </c>
      <c r="N60" t="s">
        <v>26</v>
      </c>
      <c r="O60" t="s">
        <v>29</v>
      </c>
      <c r="P60">
        <f>Table1[[#This Row],[Units]]*Table1[[#This Row],[UnitPrice]]</f>
        <v>1598</v>
      </c>
      <c r="Q60">
        <f>Table1[[#This Row],[Gross Revenue]]*Table1[[#This Row],[DiscountPct]]</f>
        <v>0</v>
      </c>
      <c r="R60">
        <f>Table1[[#This Row],[Gross Revenue]]-Table1[[#This Row],[Discount Amount]]</f>
        <v>1598</v>
      </c>
      <c r="S60" s="2">
        <f>Table1[[#This Row],[Units]]*Table1[[#This Row],[COGS_per_unit]]</f>
        <v>300</v>
      </c>
      <c r="T60" s="2">
        <f>Table1[[#This Row],[Net_Revenue]]-Table1[[#This Row],[MarketingCost]]</f>
        <v>1248</v>
      </c>
    </row>
    <row r="61" spans="1:20" x14ac:dyDescent="0.3">
      <c r="A61">
        <v>1060</v>
      </c>
      <c r="B61" s="1">
        <v>45717</v>
      </c>
      <c r="C61">
        <v>5017</v>
      </c>
      <c r="D61" t="s">
        <v>33</v>
      </c>
      <c r="E61">
        <v>29</v>
      </c>
      <c r="F61" t="s">
        <v>27</v>
      </c>
      <c r="G61" t="s">
        <v>21</v>
      </c>
      <c r="H61" t="s">
        <v>28</v>
      </c>
      <c r="I61">
        <v>1</v>
      </c>
      <c r="J61">
        <v>999</v>
      </c>
      <c r="K61">
        <v>0.15</v>
      </c>
      <c r="L61">
        <v>1000</v>
      </c>
      <c r="M61">
        <v>250</v>
      </c>
      <c r="N61" t="s">
        <v>26</v>
      </c>
      <c r="O61" t="s">
        <v>29</v>
      </c>
      <c r="P61">
        <f>Table1[[#This Row],[Units]]*Table1[[#This Row],[UnitPrice]]</f>
        <v>999</v>
      </c>
      <c r="Q61">
        <f>Table1[[#This Row],[Gross Revenue]]*Table1[[#This Row],[DiscountPct]]</f>
        <v>149.85</v>
      </c>
      <c r="R61">
        <f>Table1[[#This Row],[Gross Revenue]]-Table1[[#This Row],[Discount Amount]]</f>
        <v>849.15</v>
      </c>
      <c r="S61" s="2">
        <f>Table1[[#This Row],[Units]]*Table1[[#This Row],[COGS_per_unit]]</f>
        <v>250</v>
      </c>
      <c r="T61" s="2">
        <f>Table1[[#This Row],[Net_Revenue]]-Table1[[#This Row],[MarketingCost]]</f>
        <v>-150.85000000000002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Marketing_Finance_Project_Clean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Radhika's Vivobook</dc:creator>
  <cp:lastModifiedBy>Radhika Jullya</cp:lastModifiedBy>
  <dcterms:created xsi:type="dcterms:W3CDTF">2025-12-19T12:37:36Z</dcterms:created>
  <dcterms:modified xsi:type="dcterms:W3CDTF">2025-12-22T05:20:18Z</dcterms:modified>
</cp:coreProperties>
</file>